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2cbd612b0fe689/Documents/MS Excel/Personal Finance/"/>
    </mc:Choice>
  </mc:AlternateContent>
  <xr:revisionPtr revIDLastSave="0" documentId="8_{3F2EB047-8F00-4B77-91AA-254E0C9DDA41}" xr6:coauthVersionLast="47" xr6:coauthVersionMax="47" xr10:uidLastSave="{00000000-0000-0000-0000-000000000000}"/>
  <bookViews>
    <workbookView xWindow="250" yWindow="20" windowWidth="23750" windowHeight="15260" firstSheet="1" activeTab="2" xr2:uid="{1E819220-DE65-419E-A957-B914C42633D4}"/>
  </bookViews>
  <sheets>
    <sheet name="Sheet1" sheetId="1" state="hidden" r:id="rId1"/>
    <sheet name="Inputs" sheetId="2" r:id="rId2"/>
    <sheet name="Outputs" sheetId="3" r:id="rId3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5" i="2" l="1"/>
  <c r="AR28" i="2" l="1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H119" i="2"/>
  <c r="AR110" i="2" l="1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G110" i="2"/>
  <c r="AQ4" i="3"/>
  <c r="AP4" i="3"/>
  <c r="AO4" i="3"/>
  <c r="AN4" i="3"/>
  <c r="AM4" i="3"/>
  <c r="AL4" i="3"/>
  <c r="AK4" i="3"/>
  <c r="G111" i="2"/>
  <c r="G115" i="2"/>
  <c r="J56" i="2"/>
  <c r="I56" i="2"/>
  <c r="H56" i="2"/>
  <c r="G56" i="2"/>
  <c r="F11" i="3"/>
  <c r="F65" i="2"/>
  <c r="D38" i="3"/>
  <c r="F193" i="2"/>
  <c r="F192" i="2"/>
  <c r="F191" i="2"/>
  <c r="F190" i="2"/>
  <c r="F189" i="2"/>
  <c r="F188" i="2"/>
  <c r="E11" i="3"/>
  <c r="E10" i="3"/>
  <c r="G164" i="2"/>
  <c r="F164" i="2"/>
  <c r="E164" i="2"/>
  <c r="D41" i="3"/>
  <c r="G159" i="2"/>
  <c r="F159" i="2"/>
  <c r="E159" i="2"/>
  <c r="E9" i="2"/>
  <c r="H110" i="2" l="1"/>
  <c r="J120" i="2"/>
  <c r="I120" i="2"/>
  <c r="H120" i="2"/>
  <c r="G120" i="2"/>
  <c r="F120" i="2"/>
  <c r="E120" i="2"/>
  <c r="F113" i="2" s="1"/>
  <c r="F118" i="2"/>
  <c r="F117" i="2"/>
  <c r="G118" i="2" s="1"/>
  <c r="F114" i="2"/>
  <c r="G117" i="2" s="1"/>
  <c r="H118" i="2" s="1"/>
  <c r="G158" i="2"/>
  <c r="F10" i="3"/>
  <c r="F163" i="2"/>
  <c r="E163" i="2"/>
  <c r="F158" i="2"/>
  <c r="E158" i="2"/>
  <c r="F8" i="2"/>
  <c r="E28" i="2"/>
  <c r="G21" i="2"/>
  <c r="K181" i="2"/>
  <c r="F42" i="2"/>
  <c r="F157" i="2" s="1"/>
  <c r="F187" i="2"/>
  <c r="F46" i="2"/>
  <c r="F38" i="2" s="1"/>
  <c r="D33" i="3"/>
  <c r="G161" i="2"/>
  <c r="F161" i="2"/>
  <c r="E161" i="2"/>
  <c r="E157" i="2"/>
  <c r="P35" i="2"/>
  <c r="F33" i="2"/>
  <c r="H46" i="2"/>
  <c r="H38" i="2" s="1"/>
  <c r="G46" i="2"/>
  <c r="G38" i="2" s="1"/>
  <c r="O38" i="2"/>
  <c r="N38" i="2"/>
  <c r="M38" i="2"/>
  <c r="L38" i="2"/>
  <c r="K38" i="2"/>
  <c r="J38" i="2"/>
  <c r="I38" i="2"/>
  <c r="F37" i="2"/>
  <c r="F32" i="2"/>
  <c r="G33" i="2" s="1"/>
  <c r="G157" i="2"/>
  <c r="F56" i="2"/>
  <c r="F49" i="2" s="1"/>
  <c r="F54" i="2"/>
  <c r="G190" i="2" s="1"/>
  <c r="Q185" i="2"/>
  <c r="Q8" i="3" s="1"/>
  <c r="H177" i="2"/>
  <c r="P8" i="3"/>
  <c r="O8" i="3"/>
  <c r="N8" i="3"/>
  <c r="M8" i="3"/>
  <c r="L8" i="3"/>
  <c r="K8" i="3"/>
  <c r="J8" i="3"/>
  <c r="I8" i="3"/>
  <c r="H8" i="3"/>
  <c r="G8" i="3"/>
  <c r="F8" i="3"/>
  <c r="E8" i="3"/>
  <c r="E21" i="2"/>
  <c r="F25" i="2" s="1"/>
  <c r="E15" i="2"/>
  <c r="F16" i="2" s="1"/>
  <c r="E60" i="2"/>
  <c r="D42" i="3"/>
  <c r="F173" i="2"/>
  <c r="G173" i="2" s="1"/>
  <c r="H173" i="2" s="1"/>
  <c r="E166" i="2"/>
  <c r="F151" i="2"/>
  <c r="F166" i="2" s="1"/>
  <c r="E21" i="3" s="1"/>
  <c r="E55" i="3" s="1"/>
  <c r="H153" i="2"/>
  <c r="G153" i="2"/>
  <c r="F153" i="2"/>
  <c r="E153" i="2"/>
  <c r="F148" i="2"/>
  <c r="G166" i="2" s="1"/>
  <c r="F21" i="3" s="1"/>
  <c r="F55" i="3" s="1"/>
  <c r="F140" i="2"/>
  <c r="H145" i="2"/>
  <c r="G145" i="2"/>
  <c r="F145" i="2"/>
  <c r="E145" i="2"/>
  <c r="F139" i="2" s="1"/>
  <c r="F143" i="2"/>
  <c r="F142" i="2"/>
  <c r="G143" i="2" s="1"/>
  <c r="D40" i="3"/>
  <c r="F136" i="2"/>
  <c r="E136" i="2"/>
  <c r="E172" i="2" s="1"/>
  <c r="F135" i="2"/>
  <c r="F134" i="2"/>
  <c r="G135" i="2" s="1"/>
  <c r="F132" i="2"/>
  <c r="H137" i="2"/>
  <c r="G137" i="2"/>
  <c r="F137" i="2"/>
  <c r="E137" i="2"/>
  <c r="F131" i="2" s="1"/>
  <c r="F123" i="2"/>
  <c r="G126" i="2" s="1"/>
  <c r="H127" i="2" s="1"/>
  <c r="F126" i="2"/>
  <c r="G127" i="2" s="1"/>
  <c r="F127" i="2"/>
  <c r="F105" i="2"/>
  <c r="F107" i="2"/>
  <c r="G108" i="2" s="1"/>
  <c r="F108" i="2"/>
  <c r="E111" i="2"/>
  <c r="F111" i="2"/>
  <c r="H111" i="2"/>
  <c r="D39" i="3"/>
  <c r="F99" i="2"/>
  <c r="G100" i="2" s="1"/>
  <c r="F100" i="2"/>
  <c r="G192" i="2" s="1"/>
  <c r="F97" i="2"/>
  <c r="F102" i="2"/>
  <c r="G102" i="2"/>
  <c r="H102" i="2"/>
  <c r="E102" i="2"/>
  <c r="F91" i="2"/>
  <c r="F90" i="2"/>
  <c r="G91" i="2" s="1"/>
  <c r="F88" i="2"/>
  <c r="F82" i="2"/>
  <c r="F73" i="2"/>
  <c r="H85" i="2"/>
  <c r="G85" i="2"/>
  <c r="F83" i="2"/>
  <c r="F80" i="2"/>
  <c r="F85" i="2"/>
  <c r="E85" i="2"/>
  <c r="F79" i="2" s="1"/>
  <c r="F84" i="2" s="1"/>
  <c r="F66" i="2"/>
  <c r="F71" i="2"/>
  <c r="F74" i="2"/>
  <c r="F64" i="2"/>
  <c r="G193" i="2" l="1"/>
  <c r="H192" i="2"/>
  <c r="H193" i="2"/>
  <c r="H157" i="2"/>
  <c r="G114" i="2"/>
  <c r="H117" i="2" s="1"/>
  <c r="I118" i="2" s="1"/>
  <c r="E41" i="3"/>
  <c r="G82" i="2"/>
  <c r="H159" i="2"/>
  <c r="H158" i="2"/>
  <c r="G11" i="3"/>
  <c r="F60" i="2"/>
  <c r="G113" i="2"/>
  <c r="F41" i="3" s="1"/>
  <c r="F28" i="2"/>
  <c r="H163" i="2"/>
  <c r="F41" i="2"/>
  <c r="F53" i="2"/>
  <c r="G54" i="2" s="1"/>
  <c r="H190" i="2" s="1"/>
  <c r="D35" i="3"/>
  <c r="E35" i="3"/>
  <c r="H161" i="2"/>
  <c r="F27" i="2"/>
  <c r="G40" i="2"/>
  <c r="H40" i="2" s="1"/>
  <c r="I40" i="2" s="1"/>
  <c r="J40" i="2" s="1"/>
  <c r="K40" i="2" s="1"/>
  <c r="L40" i="2" s="1"/>
  <c r="M40" i="2" s="1"/>
  <c r="N40" i="2" s="1"/>
  <c r="I4" i="2"/>
  <c r="J4" i="2" s="1"/>
  <c r="G32" i="2"/>
  <c r="H32" i="2" s="1"/>
  <c r="I32" i="2" s="1"/>
  <c r="J32" i="2" s="1"/>
  <c r="K32" i="2" s="1"/>
  <c r="L32" i="2" s="1"/>
  <c r="M32" i="2" s="1"/>
  <c r="N32" i="2" s="1"/>
  <c r="O32" i="2" s="1"/>
  <c r="Q35" i="2"/>
  <c r="F36" i="2"/>
  <c r="G37" i="2" s="1"/>
  <c r="R185" i="2"/>
  <c r="S185" i="2" s="1"/>
  <c r="T185" i="2"/>
  <c r="S8" i="3"/>
  <c r="I177" i="2"/>
  <c r="J177" i="2" s="1"/>
  <c r="F22" i="2"/>
  <c r="E169" i="2"/>
  <c r="F149" i="2"/>
  <c r="F152" i="2" s="1"/>
  <c r="F171" i="2" s="1"/>
  <c r="G148" i="2"/>
  <c r="G140" i="2"/>
  <c r="G139" i="2"/>
  <c r="G142" i="2"/>
  <c r="H143" i="2" s="1"/>
  <c r="G134" i="2"/>
  <c r="H135" i="2" s="1"/>
  <c r="G132" i="2"/>
  <c r="G131" i="2"/>
  <c r="G104" i="2"/>
  <c r="G105" i="2"/>
  <c r="G107" i="2"/>
  <c r="H108" i="2" s="1"/>
  <c r="G99" i="2"/>
  <c r="H100" i="2" s="1"/>
  <c r="G96" i="2"/>
  <c r="G97" i="2"/>
  <c r="G83" i="2"/>
  <c r="I3" i="2"/>
  <c r="G80" i="2"/>
  <c r="G79" i="2"/>
  <c r="H79" i="2" s="1"/>
  <c r="H77" i="2"/>
  <c r="G77" i="2"/>
  <c r="F77" i="2"/>
  <c r="E77" i="2"/>
  <c r="F70" i="2" s="1"/>
  <c r="H162" i="2"/>
  <c r="F162" i="2"/>
  <c r="E13" i="3" s="1"/>
  <c r="E54" i="3" s="1"/>
  <c r="E63" i="3" s="1"/>
  <c r="E162" i="2"/>
  <c r="E33" i="3"/>
  <c r="F45" i="2"/>
  <c r="G189" i="2" s="1"/>
  <c r="F26" i="2"/>
  <c r="F20" i="3"/>
  <c r="F53" i="3" s="1"/>
  <c r="E20" i="3"/>
  <c r="E53" i="3" s="1"/>
  <c r="D30" i="3"/>
  <c r="E12" i="2" s="1"/>
  <c r="G180" i="2"/>
  <c r="H180" i="2" s="1"/>
  <c r="H175" i="2"/>
  <c r="G174" i="2"/>
  <c r="H174" i="2" s="1"/>
  <c r="G2" i="2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J110" i="2" l="1"/>
  <c r="R8" i="3"/>
  <c r="I192" i="2"/>
  <c r="G20" i="3"/>
  <c r="G53" i="3" s="1"/>
  <c r="I193" i="2"/>
  <c r="I163" i="2"/>
  <c r="I159" i="2"/>
  <c r="I161" i="2"/>
  <c r="H114" i="2"/>
  <c r="I117" i="2" s="1"/>
  <c r="J118" i="2" s="1"/>
  <c r="H113" i="2"/>
  <c r="G41" i="3" s="1"/>
  <c r="I157" i="2"/>
  <c r="F50" i="2"/>
  <c r="I158" i="2"/>
  <c r="F76" i="2"/>
  <c r="G70" i="2"/>
  <c r="J157" i="2"/>
  <c r="K4" i="2"/>
  <c r="J161" i="2"/>
  <c r="R35" i="2"/>
  <c r="H33" i="2"/>
  <c r="G36" i="2"/>
  <c r="H37" i="2" s="1"/>
  <c r="G52" i="2"/>
  <c r="G49" i="2" s="1"/>
  <c r="U185" i="2"/>
  <c r="T8" i="3"/>
  <c r="G149" i="2"/>
  <c r="H149" i="2" s="1"/>
  <c r="I149" i="2" s="1"/>
  <c r="J149" i="2" s="1"/>
  <c r="K149" i="2" s="1"/>
  <c r="L149" i="2" s="1"/>
  <c r="M149" i="2" s="1"/>
  <c r="N149" i="2" s="1"/>
  <c r="O149" i="2" s="1"/>
  <c r="P149" i="2" s="1"/>
  <c r="Q149" i="2" s="1"/>
  <c r="R149" i="2" s="1"/>
  <c r="S149" i="2" s="1"/>
  <c r="T149" i="2" s="1"/>
  <c r="U149" i="2" s="1"/>
  <c r="V149" i="2" s="1"/>
  <c r="W149" i="2" s="1"/>
  <c r="X149" i="2" s="1"/>
  <c r="Y149" i="2" s="1"/>
  <c r="Z149" i="2" s="1"/>
  <c r="AA149" i="2" s="1"/>
  <c r="AB149" i="2" s="1"/>
  <c r="AC149" i="2" s="1"/>
  <c r="AD149" i="2" s="1"/>
  <c r="AE149" i="2" s="1"/>
  <c r="AF149" i="2" s="1"/>
  <c r="AG149" i="2" s="1"/>
  <c r="AH149" i="2" s="1"/>
  <c r="AI149" i="2" s="1"/>
  <c r="AJ149" i="2" s="1"/>
  <c r="AK149" i="2" s="1"/>
  <c r="AL149" i="2" s="1"/>
  <c r="AM149" i="2" s="1"/>
  <c r="AN149" i="2" s="1"/>
  <c r="AO149" i="2" s="1"/>
  <c r="AP149" i="2" s="1"/>
  <c r="AQ149" i="2" s="1"/>
  <c r="AR149" i="2" s="1"/>
  <c r="E42" i="3"/>
  <c r="E64" i="3" s="1"/>
  <c r="H150" i="2"/>
  <c r="H132" i="2"/>
  <c r="E19" i="3"/>
  <c r="H140" i="2"/>
  <c r="H139" i="2"/>
  <c r="H131" i="2"/>
  <c r="G136" i="2"/>
  <c r="H134" i="2"/>
  <c r="I135" i="2" s="1"/>
  <c r="G41" i="2"/>
  <c r="F44" i="2"/>
  <c r="G84" i="2"/>
  <c r="H84" i="2" s="1"/>
  <c r="H99" i="2"/>
  <c r="I100" i="2" s="1"/>
  <c r="G101" i="2"/>
  <c r="H96" i="2"/>
  <c r="H97" i="2"/>
  <c r="I162" i="2"/>
  <c r="G109" i="2"/>
  <c r="H104" i="2"/>
  <c r="H105" i="2"/>
  <c r="H107" i="2"/>
  <c r="I108" i="2" s="1"/>
  <c r="G73" i="2"/>
  <c r="F75" i="2"/>
  <c r="H82" i="2"/>
  <c r="I83" i="2" s="1"/>
  <c r="J3" i="2"/>
  <c r="J159" i="2" s="1"/>
  <c r="H80" i="2"/>
  <c r="I80" i="2" s="1"/>
  <c r="H83" i="2"/>
  <c r="I79" i="2"/>
  <c r="J81" i="2" s="1"/>
  <c r="F61" i="2"/>
  <c r="F63" i="2"/>
  <c r="G64" i="2" s="1"/>
  <c r="G188" i="2" s="1"/>
  <c r="G71" i="2"/>
  <c r="G74" i="2"/>
  <c r="G16" i="2"/>
  <c r="E16" i="2"/>
  <c r="G27" i="2"/>
  <c r="E27" i="2"/>
  <c r="G94" i="2"/>
  <c r="F94" i="2"/>
  <c r="E94" i="2"/>
  <c r="F87" i="2" s="1"/>
  <c r="G129" i="2"/>
  <c r="F129" i="2"/>
  <c r="E129" i="2"/>
  <c r="F122" i="2" s="1"/>
  <c r="F2" i="3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AI2" i="3" s="1"/>
  <c r="AJ2" i="3" s="1"/>
  <c r="AK2" i="3" s="1"/>
  <c r="AL2" i="3" s="1"/>
  <c r="AM2" i="3" s="1"/>
  <c r="AN2" i="3" s="1"/>
  <c r="AO2" i="3" s="1"/>
  <c r="AP2" i="3" s="1"/>
  <c r="AQ2" i="3" s="1"/>
  <c r="D32" i="3"/>
  <c r="E183" i="2"/>
  <c r="F4" i="3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G1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K110" i="2" l="1"/>
  <c r="L110" i="2" s="1"/>
  <c r="H72" i="2"/>
  <c r="I164" i="2"/>
  <c r="H13" i="3" s="1"/>
  <c r="H54" i="3" s="1"/>
  <c r="E52" i="3"/>
  <c r="E61" i="3"/>
  <c r="J164" i="2"/>
  <c r="I114" i="2"/>
  <c r="J117" i="2" s="1"/>
  <c r="K118" i="2" s="1"/>
  <c r="I113" i="2"/>
  <c r="H41" i="3" s="1"/>
  <c r="J158" i="2"/>
  <c r="I20" i="3" s="1"/>
  <c r="I53" i="3" s="1"/>
  <c r="J163" i="2"/>
  <c r="G76" i="2"/>
  <c r="H20" i="3"/>
  <c r="H53" i="3" s="1"/>
  <c r="G163" i="2"/>
  <c r="G62" i="2"/>
  <c r="G60" i="2" s="1"/>
  <c r="L4" i="2"/>
  <c r="K161" i="2"/>
  <c r="K157" i="2"/>
  <c r="I33" i="2"/>
  <c r="S35" i="2"/>
  <c r="H36" i="2"/>
  <c r="I37" i="2" s="1"/>
  <c r="G53" i="2"/>
  <c r="H54" i="2" s="1"/>
  <c r="I190" i="2" s="1"/>
  <c r="U8" i="3"/>
  <c r="V185" i="2"/>
  <c r="G152" i="2"/>
  <c r="G171" i="2" s="1"/>
  <c r="F92" i="2"/>
  <c r="F172" i="2" s="1"/>
  <c r="G191" i="2"/>
  <c r="F42" i="3"/>
  <c r="F64" i="3" s="1"/>
  <c r="H148" i="2"/>
  <c r="G42" i="3" s="1"/>
  <c r="G64" i="3" s="1"/>
  <c r="H166" i="2"/>
  <c r="G21" i="3" s="1"/>
  <c r="G55" i="3" s="1"/>
  <c r="J82" i="2"/>
  <c r="H136" i="2"/>
  <c r="I139" i="2"/>
  <c r="I140" i="2"/>
  <c r="I131" i="2"/>
  <c r="I134" i="2"/>
  <c r="J135" i="2" s="1"/>
  <c r="I132" i="2"/>
  <c r="G123" i="2"/>
  <c r="H126" i="2" s="1"/>
  <c r="I127" i="2" s="1"/>
  <c r="J192" i="2" s="1"/>
  <c r="G122" i="2"/>
  <c r="E39" i="3"/>
  <c r="G75" i="2"/>
  <c r="I104" i="2"/>
  <c r="I105" i="2"/>
  <c r="I107" i="2"/>
  <c r="J108" i="2" s="1"/>
  <c r="H109" i="2"/>
  <c r="I97" i="2"/>
  <c r="I99" i="2"/>
  <c r="J100" i="2" s="1"/>
  <c r="H101" i="2"/>
  <c r="I96" i="2"/>
  <c r="G90" i="2"/>
  <c r="H91" i="2" s="1"/>
  <c r="G88" i="2"/>
  <c r="G87" i="2"/>
  <c r="I82" i="2"/>
  <c r="J83" i="2" s="1"/>
  <c r="K3" i="2"/>
  <c r="J162" i="2"/>
  <c r="J80" i="2"/>
  <c r="G22" i="2"/>
  <c r="G25" i="2"/>
  <c r="H74" i="2"/>
  <c r="G26" i="2"/>
  <c r="G45" i="2"/>
  <c r="H189" i="2" s="1"/>
  <c r="F33" i="3"/>
  <c r="E40" i="3"/>
  <c r="I175" i="2"/>
  <c r="I174" i="2"/>
  <c r="H16" i="2"/>
  <c r="I180" i="2"/>
  <c r="H21" i="2"/>
  <c r="H129" i="2"/>
  <c r="H27" i="2"/>
  <c r="H94" i="2"/>
  <c r="D36" i="3"/>
  <c r="D29" i="3"/>
  <c r="E9" i="3"/>
  <c r="E7" i="3"/>
  <c r="F38" i="3" l="1"/>
  <c r="H89" i="2"/>
  <c r="H88" i="2" s="1"/>
  <c r="M110" i="2"/>
  <c r="H70" i="2"/>
  <c r="I70" i="2" s="1"/>
  <c r="H63" i="3"/>
  <c r="H60" i="2"/>
  <c r="H65" i="2" s="1"/>
  <c r="K163" i="2"/>
  <c r="K159" i="2"/>
  <c r="J114" i="2"/>
  <c r="K117" i="2" s="1"/>
  <c r="L118" i="2" s="1"/>
  <c r="J113" i="2"/>
  <c r="I41" i="3" s="1"/>
  <c r="H11" i="3"/>
  <c r="H49" i="2"/>
  <c r="I49" i="2" s="1"/>
  <c r="F35" i="3"/>
  <c r="G50" i="2"/>
  <c r="H50" i="2" s="1"/>
  <c r="K158" i="2"/>
  <c r="L157" i="2"/>
  <c r="M4" i="2"/>
  <c r="L161" i="2"/>
  <c r="J33" i="2"/>
  <c r="T35" i="2"/>
  <c r="I36" i="2"/>
  <c r="J37" i="2" s="1"/>
  <c r="V8" i="3"/>
  <c r="W185" i="2"/>
  <c r="G93" i="2"/>
  <c r="E12" i="3"/>
  <c r="I150" i="2"/>
  <c r="I166" i="2" s="1"/>
  <c r="H21" i="3" s="1"/>
  <c r="H55" i="3" s="1"/>
  <c r="G92" i="2"/>
  <c r="H152" i="2"/>
  <c r="H171" i="2" s="1"/>
  <c r="I153" i="2"/>
  <c r="I173" i="2"/>
  <c r="E38" i="3"/>
  <c r="J140" i="2"/>
  <c r="I137" i="2"/>
  <c r="J131" i="2" s="1"/>
  <c r="I145" i="2"/>
  <c r="J139" i="2" s="1"/>
  <c r="J134" i="2"/>
  <c r="K135" i="2" s="1"/>
  <c r="J132" i="2"/>
  <c r="I136" i="2"/>
  <c r="I84" i="2"/>
  <c r="J97" i="2"/>
  <c r="J99" i="2"/>
  <c r="K100" i="2" s="1"/>
  <c r="I101" i="2"/>
  <c r="I109" i="2"/>
  <c r="J105" i="2"/>
  <c r="J107" i="2"/>
  <c r="K108" i="2" s="1"/>
  <c r="H41" i="2"/>
  <c r="G44" i="2"/>
  <c r="H45" i="2" s="1"/>
  <c r="I189" i="2" s="1"/>
  <c r="H71" i="2"/>
  <c r="I85" i="2"/>
  <c r="J79" i="2" s="1"/>
  <c r="K80" i="2" s="1"/>
  <c r="I111" i="2"/>
  <c r="J104" i="2" s="1"/>
  <c r="I102" i="2"/>
  <c r="J96" i="2" s="1"/>
  <c r="H123" i="2"/>
  <c r="I126" i="2" s="1"/>
  <c r="J127" i="2" s="1"/>
  <c r="K192" i="2" s="1"/>
  <c r="F39" i="3"/>
  <c r="D45" i="3"/>
  <c r="H87" i="2"/>
  <c r="H90" i="2"/>
  <c r="I91" i="2" s="1"/>
  <c r="H73" i="2"/>
  <c r="I74" i="2" s="1"/>
  <c r="L3" i="2"/>
  <c r="L159" i="2" s="1"/>
  <c r="K162" i="2"/>
  <c r="K83" i="2"/>
  <c r="G63" i="2"/>
  <c r="G61" i="2"/>
  <c r="H25" i="2"/>
  <c r="I26" i="2" s="1"/>
  <c r="H22" i="2"/>
  <c r="I77" i="2"/>
  <c r="H26" i="2"/>
  <c r="G162" i="2"/>
  <c r="F13" i="3" s="1"/>
  <c r="F54" i="3" s="1"/>
  <c r="F63" i="3" s="1"/>
  <c r="J180" i="2"/>
  <c r="J174" i="2"/>
  <c r="J175" i="2"/>
  <c r="I16" i="2"/>
  <c r="I27" i="2"/>
  <c r="I21" i="2"/>
  <c r="I129" i="2"/>
  <c r="I94" i="2"/>
  <c r="E32" i="3"/>
  <c r="E36" i="3"/>
  <c r="E18" i="3"/>
  <c r="E23" i="3" s="1"/>
  <c r="F183" i="2"/>
  <c r="F17" i="1"/>
  <c r="Q19" i="1"/>
  <c r="G24" i="1"/>
  <c r="H24" i="1" s="1"/>
  <c r="I24" i="1" s="1"/>
  <c r="J24" i="1" s="1"/>
  <c r="K24" i="1" s="1"/>
  <c r="G37" i="1"/>
  <c r="F26" i="1"/>
  <c r="E26" i="1"/>
  <c r="E14" i="1"/>
  <c r="AN9" i="1"/>
  <c r="AN7" i="1"/>
  <c r="AM9" i="1"/>
  <c r="AM7" i="1"/>
  <c r="F19" i="1"/>
  <c r="G19" i="1" s="1"/>
  <c r="H19" i="1" s="1"/>
  <c r="E37" i="1"/>
  <c r="H164" i="2" l="1"/>
  <c r="G13" i="3" s="1"/>
  <c r="G54" i="3" s="1"/>
  <c r="G63" i="3" s="1"/>
  <c r="G38" i="3"/>
  <c r="H76" i="2"/>
  <c r="H191" i="2"/>
  <c r="F12" i="3"/>
  <c r="N110" i="2"/>
  <c r="J20" i="3"/>
  <c r="J53" i="3" s="1"/>
  <c r="J70" i="2"/>
  <c r="I60" i="2"/>
  <c r="J60" i="2" s="1"/>
  <c r="E62" i="3"/>
  <c r="H53" i="2"/>
  <c r="I54" i="2" s="1"/>
  <c r="K114" i="2"/>
  <c r="L117" i="2" s="1"/>
  <c r="M118" i="2" s="1"/>
  <c r="K113" i="2"/>
  <c r="J41" i="3" s="1"/>
  <c r="J119" i="2"/>
  <c r="I11" i="3" s="1"/>
  <c r="L158" i="2"/>
  <c r="K20" i="3" s="1"/>
  <c r="K53" i="3" s="1"/>
  <c r="L163" i="2"/>
  <c r="G10" i="3"/>
  <c r="G35" i="3"/>
  <c r="N4" i="2"/>
  <c r="M161" i="2"/>
  <c r="M157" i="2"/>
  <c r="H33" i="3"/>
  <c r="G33" i="3"/>
  <c r="K33" i="2"/>
  <c r="J36" i="2"/>
  <c r="K37" i="2" s="1"/>
  <c r="I50" i="2"/>
  <c r="I53" i="2"/>
  <c r="J54" i="2" s="1"/>
  <c r="H92" i="2"/>
  <c r="W8" i="3"/>
  <c r="X185" i="2"/>
  <c r="J153" i="2"/>
  <c r="H93" i="2"/>
  <c r="I148" i="2"/>
  <c r="I152" i="2" s="1"/>
  <c r="I171" i="2" s="1"/>
  <c r="K132" i="2"/>
  <c r="J173" i="2"/>
  <c r="I88" i="2"/>
  <c r="K140" i="2"/>
  <c r="J137" i="2"/>
  <c r="K131" i="2" s="1"/>
  <c r="J145" i="2"/>
  <c r="K139" i="2" s="1"/>
  <c r="J136" i="2"/>
  <c r="K134" i="2"/>
  <c r="L135" i="2" s="1"/>
  <c r="J101" i="2"/>
  <c r="K97" i="2"/>
  <c r="K99" i="2"/>
  <c r="L100" i="2" s="1"/>
  <c r="I41" i="2"/>
  <c r="I44" i="2" s="1"/>
  <c r="H44" i="2"/>
  <c r="I45" i="2" s="1"/>
  <c r="J189" i="2" s="1"/>
  <c r="H75" i="2"/>
  <c r="J109" i="2"/>
  <c r="K105" i="2"/>
  <c r="K107" i="2"/>
  <c r="L108" i="2" s="1"/>
  <c r="K82" i="2"/>
  <c r="L83" i="2" s="1"/>
  <c r="J84" i="2"/>
  <c r="J85" i="2"/>
  <c r="K79" i="2" s="1"/>
  <c r="L82" i="2" s="1"/>
  <c r="J111" i="2"/>
  <c r="K104" i="2" s="1"/>
  <c r="J102" i="2"/>
  <c r="K96" i="2" s="1"/>
  <c r="L98" i="2" s="1"/>
  <c r="I71" i="2"/>
  <c r="I122" i="2"/>
  <c r="H128" i="2"/>
  <c r="I123" i="2"/>
  <c r="J126" i="2" s="1"/>
  <c r="K127" i="2" s="1"/>
  <c r="L192" i="2" s="1"/>
  <c r="G39" i="3"/>
  <c r="I73" i="2"/>
  <c r="J74" i="2" s="1"/>
  <c r="I87" i="2"/>
  <c r="H38" i="3" s="1"/>
  <c r="I90" i="2"/>
  <c r="J91" i="2" s="1"/>
  <c r="M3" i="2"/>
  <c r="M159" i="2" s="1"/>
  <c r="L162" i="2"/>
  <c r="H61" i="2"/>
  <c r="H63" i="2"/>
  <c r="I22" i="2"/>
  <c r="J25" i="2" s="1"/>
  <c r="I25" i="2"/>
  <c r="J26" i="2" s="1"/>
  <c r="J77" i="2"/>
  <c r="H64" i="2"/>
  <c r="H188" i="2" s="1"/>
  <c r="I33" i="3"/>
  <c r="K175" i="2"/>
  <c r="K174" i="2"/>
  <c r="K180" i="2"/>
  <c r="J27" i="2"/>
  <c r="J21" i="2"/>
  <c r="J16" i="2"/>
  <c r="J129" i="2"/>
  <c r="J94" i="2"/>
  <c r="K6" i="2"/>
  <c r="H29" i="2"/>
  <c r="F36" i="3"/>
  <c r="G29" i="2"/>
  <c r="F32" i="3"/>
  <c r="H37" i="1"/>
  <c r="I37" i="1" s="1"/>
  <c r="J37" i="1" s="1"/>
  <c r="K37" i="1" s="1"/>
  <c r="E38" i="1"/>
  <c r="G38" i="1" s="1"/>
  <c r="H38" i="1" s="1"/>
  <c r="I38" i="1" s="1"/>
  <c r="J38" i="1" s="1"/>
  <c r="K38" i="1" s="1"/>
  <c r="D30" i="1"/>
  <c r="E11" i="1" s="1"/>
  <c r="E30" i="1" s="1"/>
  <c r="D33" i="1"/>
  <c r="D32" i="1"/>
  <c r="E13" i="1" s="1"/>
  <c r="D31" i="1"/>
  <c r="E12" i="1" s="1"/>
  <c r="E18" i="1" s="1"/>
  <c r="D42" i="1"/>
  <c r="D15" i="1" s="1"/>
  <c r="D17" i="1" s="1"/>
  <c r="E39" i="1"/>
  <c r="F39" i="1" s="1"/>
  <c r="G39" i="1" s="1"/>
  <c r="H39" i="1" s="1"/>
  <c r="E40" i="1"/>
  <c r="F40" i="1" s="1"/>
  <c r="G40" i="1" s="1"/>
  <c r="H40" i="1" s="1"/>
  <c r="I40" i="1" s="1"/>
  <c r="J40" i="1" s="1"/>
  <c r="E7" i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D8" i="1"/>
  <c r="E9" i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Q9" i="1" s="1"/>
  <c r="R9" i="1" s="1"/>
  <c r="S9" i="1" s="1"/>
  <c r="T9" i="1" s="1"/>
  <c r="U9" i="1" s="1"/>
  <c r="V9" i="1" s="1"/>
  <c r="W9" i="1" s="1"/>
  <c r="X9" i="1" s="1"/>
  <c r="Y9" i="1" s="1"/>
  <c r="Z9" i="1" s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G12" i="3" l="1"/>
  <c r="I65" i="2"/>
  <c r="O110" i="2"/>
  <c r="K56" i="2"/>
  <c r="K60" i="2"/>
  <c r="K70" i="2"/>
  <c r="I191" i="2"/>
  <c r="M164" i="2"/>
  <c r="K120" i="2"/>
  <c r="L113" i="2" s="1"/>
  <c r="K41" i="3" s="1"/>
  <c r="L114" i="2"/>
  <c r="M117" i="2" s="1"/>
  <c r="N118" i="2" s="1"/>
  <c r="K119" i="2"/>
  <c r="J11" i="3" s="1"/>
  <c r="J49" i="2"/>
  <c r="M158" i="2"/>
  <c r="L20" i="3" s="1"/>
  <c r="L53" i="3" s="1"/>
  <c r="O4" i="2"/>
  <c r="N161" i="2"/>
  <c r="N157" i="2"/>
  <c r="L33" i="2"/>
  <c r="K36" i="2"/>
  <c r="L37" i="2" s="1"/>
  <c r="I92" i="2"/>
  <c r="K153" i="2"/>
  <c r="K177" i="2"/>
  <c r="X8" i="3"/>
  <c r="Y185" i="2"/>
  <c r="L134" i="2"/>
  <c r="M135" i="2" s="1"/>
  <c r="L132" i="2"/>
  <c r="I76" i="2"/>
  <c r="I13" i="3"/>
  <c r="I54" i="3" s="1"/>
  <c r="I63" i="3" s="1"/>
  <c r="H42" i="3"/>
  <c r="H64" i="3" s="1"/>
  <c r="J150" i="2"/>
  <c r="I93" i="2"/>
  <c r="H12" i="3" s="1"/>
  <c r="K173" i="2"/>
  <c r="L140" i="2"/>
  <c r="K137" i="2"/>
  <c r="L131" i="2" s="1"/>
  <c r="M132" i="2" s="1"/>
  <c r="K145" i="2"/>
  <c r="L139" i="2" s="1"/>
  <c r="J41" i="2"/>
  <c r="K41" i="2" s="1"/>
  <c r="K136" i="2"/>
  <c r="I61" i="2"/>
  <c r="L80" i="2"/>
  <c r="K101" i="2"/>
  <c r="J123" i="2"/>
  <c r="K126" i="2" s="1"/>
  <c r="L127" i="2" s="1"/>
  <c r="M192" i="2" s="1"/>
  <c r="J122" i="2"/>
  <c r="I128" i="2"/>
  <c r="H39" i="3"/>
  <c r="I75" i="2"/>
  <c r="K109" i="2"/>
  <c r="L105" i="2"/>
  <c r="L107" i="2"/>
  <c r="M108" i="2" s="1"/>
  <c r="K84" i="2"/>
  <c r="K85" i="2"/>
  <c r="L79" i="2" s="1"/>
  <c r="K102" i="2"/>
  <c r="K111" i="2"/>
  <c r="L104" i="2" s="1"/>
  <c r="J87" i="2"/>
  <c r="J90" i="2"/>
  <c r="K91" i="2" s="1"/>
  <c r="J88" i="2"/>
  <c r="N3" i="2"/>
  <c r="M83" i="2"/>
  <c r="I63" i="2"/>
  <c r="J22" i="2"/>
  <c r="K22" i="2" s="1"/>
  <c r="K77" i="2"/>
  <c r="I64" i="2"/>
  <c r="J45" i="2"/>
  <c r="K189" i="2" s="1"/>
  <c r="J33" i="3"/>
  <c r="L174" i="2"/>
  <c r="F7" i="3"/>
  <c r="G7" i="3"/>
  <c r="L180" i="2"/>
  <c r="L175" i="2"/>
  <c r="K21" i="2"/>
  <c r="K16" i="2"/>
  <c r="K27" i="2"/>
  <c r="K129" i="2"/>
  <c r="K94" i="2"/>
  <c r="L6" i="2"/>
  <c r="F9" i="3"/>
  <c r="G32" i="3"/>
  <c r="G36" i="3"/>
  <c r="E33" i="1"/>
  <c r="F14" i="1" s="1"/>
  <c r="F33" i="1" s="1"/>
  <c r="K40" i="1"/>
  <c r="F11" i="1"/>
  <c r="F30" i="1" s="1"/>
  <c r="E32" i="1"/>
  <c r="E31" i="1"/>
  <c r="P110" i="2" l="1"/>
  <c r="L120" i="2"/>
  <c r="L56" i="2"/>
  <c r="L60" i="2"/>
  <c r="I38" i="3"/>
  <c r="K89" i="2"/>
  <c r="K164" i="2" s="1"/>
  <c r="J13" i="3" s="1"/>
  <c r="J54" i="3" s="1"/>
  <c r="J63" i="3" s="1"/>
  <c r="J191" i="2"/>
  <c r="N163" i="2"/>
  <c r="N159" i="2"/>
  <c r="J92" i="2"/>
  <c r="M114" i="2"/>
  <c r="N117" i="2" s="1"/>
  <c r="O118" i="2" s="1"/>
  <c r="M113" i="2"/>
  <c r="L41" i="3" s="1"/>
  <c r="L119" i="2"/>
  <c r="K11" i="3" s="1"/>
  <c r="I55" i="2"/>
  <c r="J190" i="2" s="1"/>
  <c r="J50" i="2"/>
  <c r="K50" i="2" s="1"/>
  <c r="J53" i="2"/>
  <c r="K54" i="2" s="1"/>
  <c r="K49" i="2"/>
  <c r="H35" i="3"/>
  <c r="N158" i="2"/>
  <c r="P4" i="2"/>
  <c r="O157" i="2"/>
  <c r="M33" i="2"/>
  <c r="L36" i="2"/>
  <c r="M37" i="2" s="1"/>
  <c r="L153" i="2"/>
  <c r="I188" i="2"/>
  <c r="J71" i="2"/>
  <c r="J73" i="2"/>
  <c r="K74" i="2" s="1"/>
  <c r="J75" i="2"/>
  <c r="L177" i="2"/>
  <c r="Z185" i="2"/>
  <c r="Y8" i="3"/>
  <c r="J93" i="2"/>
  <c r="M82" i="2"/>
  <c r="N83" i="2" s="1"/>
  <c r="J166" i="2"/>
  <c r="I21" i="3" s="1"/>
  <c r="I55" i="3" s="1"/>
  <c r="J148" i="2"/>
  <c r="M134" i="2"/>
  <c r="N135" i="2" s="1"/>
  <c r="L173" i="2"/>
  <c r="M140" i="2"/>
  <c r="L137" i="2"/>
  <c r="M131" i="2" s="1"/>
  <c r="N134" i="2" s="1"/>
  <c r="O135" i="2" s="1"/>
  <c r="L145" i="2"/>
  <c r="M139" i="2" s="1"/>
  <c r="J44" i="2"/>
  <c r="K45" i="2" s="1"/>
  <c r="L189" i="2" s="1"/>
  <c r="J61" i="2"/>
  <c r="L136" i="2"/>
  <c r="L96" i="2"/>
  <c r="L101" i="2" s="1"/>
  <c r="L109" i="2"/>
  <c r="M105" i="2"/>
  <c r="M107" i="2"/>
  <c r="N108" i="2" s="1"/>
  <c r="J128" i="2"/>
  <c r="K123" i="2"/>
  <c r="L126" i="2" s="1"/>
  <c r="M127" i="2" s="1"/>
  <c r="K122" i="2"/>
  <c r="I39" i="3"/>
  <c r="L99" i="2"/>
  <c r="M100" i="2" s="1"/>
  <c r="L97" i="2"/>
  <c r="L84" i="2"/>
  <c r="M80" i="2"/>
  <c r="L41" i="2"/>
  <c r="K44" i="2"/>
  <c r="L45" i="2" s="1"/>
  <c r="M189" i="2" s="1"/>
  <c r="L111" i="2"/>
  <c r="M104" i="2" s="1"/>
  <c r="L102" i="2"/>
  <c r="K88" i="2"/>
  <c r="O3" i="2"/>
  <c r="N162" i="2"/>
  <c r="L77" i="2"/>
  <c r="L85" i="2"/>
  <c r="M79" i="2" s="1"/>
  <c r="J63" i="2"/>
  <c r="K25" i="2"/>
  <c r="L22" i="2"/>
  <c r="L25" i="2"/>
  <c r="J64" i="2"/>
  <c r="M174" i="2"/>
  <c r="K26" i="2"/>
  <c r="K33" i="3"/>
  <c r="G9" i="3"/>
  <c r="M175" i="2"/>
  <c r="M180" i="2"/>
  <c r="L21" i="2"/>
  <c r="L16" i="2"/>
  <c r="L27" i="2"/>
  <c r="L94" i="2"/>
  <c r="L129" i="2"/>
  <c r="M6" i="2"/>
  <c r="M181" i="2"/>
  <c r="I29" i="2"/>
  <c r="H32" i="3"/>
  <c r="J29" i="2"/>
  <c r="H36" i="3"/>
  <c r="F12" i="1"/>
  <c r="F18" i="1" s="1"/>
  <c r="F13" i="1"/>
  <c r="F32" i="1" s="1"/>
  <c r="G13" i="1" s="1"/>
  <c r="G32" i="1" s="1"/>
  <c r="G14" i="1"/>
  <c r="G33" i="1" s="1"/>
  <c r="G11" i="1"/>
  <c r="G30" i="1" s="1"/>
  <c r="D28" i="1"/>
  <c r="D5" i="1" s="1"/>
  <c r="M20" i="3" l="1"/>
  <c r="M53" i="3" s="1"/>
  <c r="K90" i="2"/>
  <c r="L91" i="2" s="1"/>
  <c r="Q110" i="2"/>
  <c r="M120" i="2"/>
  <c r="M56" i="2"/>
  <c r="K87" i="2"/>
  <c r="J38" i="3" s="1"/>
  <c r="K92" i="2"/>
  <c r="N192" i="2"/>
  <c r="O163" i="2"/>
  <c r="O159" i="2"/>
  <c r="O164" i="2"/>
  <c r="K53" i="2"/>
  <c r="L54" i="2" s="1"/>
  <c r="M119" i="2"/>
  <c r="L11" i="3" s="1"/>
  <c r="N114" i="2"/>
  <c r="O117" i="2" s="1"/>
  <c r="P118" i="2" s="1"/>
  <c r="N113" i="2"/>
  <c r="M41" i="3" s="1"/>
  <c r="J55" i="2"/>
  <c r="K190" i="2" s="1"/>
  <c r="H10" i="3"/>
  <c r="L49" i="2"/>
  <c r="I35" i="3"/>
  <c r="O158" i="2"/>
  <c r="Q4" i="2"/>
  <c r="P157" i="2"/>
  <c r="P161" i="2"/>
  <c r="N33" i="2"/>
  <c r="M36" i="2"/>
  <c r="N37" i="2" s="1"/>
  <c r="M153" i="2"/>
  <c r="J35" i="3"/>
  <c r="K71" i="2"/>
  <c r="J76" i="2"/>
  <c r="K191" i="2" s="1"/>
  <c r="J65" i="2"/>
  <c r="J188" i="2" s="1"/>
  <c r="L72" i="2"/>
  <c r="L164" i="2" s="1"/>
  <c r="K73" i="2"/>
  <c r="M177" i="2"/>
  <c r="Z8" i="3"/>
  <c r="AA185" i="2"/>
  <c r="I42" i="3"/>
  <c r="I64" i="3" s="1"/>
  <c r="K150" i="2"/>
  <c r="K166" i="2" s="1"/>
  <c r="J21" i="3" s="1"/>
  <c r="J55" i="3" s="1"/>
  <c r="J152" i="2"/>
  <c r="J171" i="2" s="1"/>
  <c r="N132" i="2"/>
  <c r="M173" i="2"/>
  <c r="N140" i="2"/>
  <c r="M99" i="2"/>
  <c r="N100" i="2" s="1"/>
  <c r="M137" i="2"/>
  <c r="N131" i="2" s="1"/>
  <c r="M145" i="2"/>
  <c r="N139" i="2" s="1"/>
  <c r="M97" i="2"/>
  <c r="K61" i="2"/>
  <c r="M96" i="2"/>
  <c r="M136" i="2"/>
  <c r="M109" i="2"/>
  <c r="N105" i="2"/>
  <c r="N107" i="2"/>
  <c r="O108" i="2" s="1"/>
  <c r="K128" i="2"/>
  <c r="L123" i="2"/>
  <c r="M126" i="2" s="1"/>
  <c r="N127" i="2" s="1"/>
  <c r="L122" i="2"/>
  <c r="J39" i="3"/>
  <c r="M84" i="2"/>
  <c r="N82" i="2"/>
  <c r="O83" i="2" s="1"/>
  <c r="L44" i="2"/>
  <c r="M41" i="2"/>
  <c r="M85" i="2"/>
  <c r="N79" i="2" s="1"/>
  <c r="M111" i="2"/>
  <c r="N104" i="2" s="1"/>
  <c r="M102" i="2"/>
  <c r="N80" i="2"/>
  <c r="P3" i="2"/>
  <c r="O162" i="2"/>
  <c r="K63" i="2"/>
  <c r="M25" i="2"/>
  <c r="M22" i="2"/>
  <c r="M77" i="2"/>
  <c r="K64" i="2"/>
  <c r="M26" i="2"/>
  <c r="L26" i="2"/>
  <c r="L33" i="3"/>
  <c r="I7" i="3"/>
  <c r="H7" i="3"/>
  <c r="H9" i="3"/>
  <c r="N180" i="2"/>
  <c r="N175" i="2"/>
  <c r="N174" i="2"/>
  <c r="M16" i="2"/>
  <c r="M27" i="2"/>
  <c r="M21" i="2"/>
  <c r="M129" i="2"/>
  <c r="M94" i="2"/>
  <c r="N6" i="2"/>
  <c r="I32" i="3"/>
  <c r="I36" i="3"/>
  <c r="F31" i="1"/>
  <c r="H14" i="1"/>
  <c r="H33" i="1" s="1"/>
  <c r="H13" i="1"/>
  <c r="H32" i="1" s="1"/>
  <c r="H11" i="1"/>
  <c r="H30" i="1" s="1"/>
  <c r="E15" i="1"/>
  <c r="E17" i="1" s="1"/>
  <c r="I10" i="1"/>
  <c r="I12" i="3" l="1"/>
  <c r="L90" i="2"/>
  <c r="M91" i="2" s="1"/>
  <c r="L88" i="2"/>
  <c r="L87" i="2"/>
  <c r="M90" i="2" s="1"/>
  <c r="N91" i="2" s="1"/>
  <c r="K93" i="2"/>
  <c r="J12" i="3" s="1"/>
  <c r="R110" i="2"/>
  <c r="N120" i="2"/>
  <c r="N56" i="2"/>
  <c r="O192" i="2"/>
  <c r="N98" i="2"/>
  <c r="N164" i="2" s="1"/>
  <c r="M13" i="3" s="1"/>
  <c r="M54" i="3" s="1"/>
  <c r="M63" i="3" s="1"/>
  <c r="N20" i="3"/>
  <c r="N53" i="3" s="1"/>
  <c r="L92" i="2"/>
  <c r="I10" i="3"/>
  <c r="P163" i="2"/>
  <c r="P159" i="2"/>
  <c r="P164" i="2"/>
  <c r="N119" i="2"/>
  <c r="M11" i="3" s="1"/>
  <c r="O114" i="2"/>
  <c r="P117" i="2" s="1"/>
  <c r="Q118" i="2" s="1"/>
  <c r="O113" i="2"/>
  <c r="N41" i="3" s="1"/>
  <c r="P158" i="2"/>
  <c r="K13" i="3"/>
  <c r="K54" i="3" s="1"/>
  <c r="K63" i="3" s="1"/>
  <c r="L70" i="2"/>
  <c r="R4" i="2"/>
  <c r="Q157" i="2"/>
  <c r="Q161" i="2"/>
  <c r="O33" i="2"/>
  <c r="N36" i="2"/>
  <c r="O37" i="2" s="1"/>
  <c r="N153" i="2"/>
  <c r="L50" i="2"/>
  <c r="K55" i="2"/>
  <c r="L190" i="2" s="1"/>
  <c r="L53" i="2"/>
  <c r="M54" i="2" s="1"/>
  <c r="L71" i="2"/>
  <c r="L73" i="2"/>
  <c r="K76" i="2"/>
  <c r="K75" i="2"/>
  <c r="K65" i="2"/>
  <c r="K188" i="2" s="1"/>
  <c r="N177" i="2"/>
  <c r="AA8" i="3"/>
  <c r="AB185" i="2"/>
  <c r="K148" i="2"/>
  <c r="K152" i="2" s="1"/>
  <c r="K171" i="2" s="1"/>
  <c r="O132" i="2"/>
  <c r="O134" i="2"/>
  <c r="P135" i="2" s="1"/>
  <c r="N173" i="2"/>
  <c r="N97" i="2"/>
  <c r="M101" i="2"/>
  <c r="O140" i="2"/>
  <c r="N137" i="2"/>
  <c r="O131" i="2" s="1"/>
  <c r="N145" i="2"/>
  <c r="O139" i="2" s="1"/>
  <c r="L61" i="2"/>
  <c r="N136" i="2"/>
  <c r="O82" i="2"/>
  <c r="P83" i="2" s="1"/>
  <c r="N109" i="2"/>
  <c r="O105" i="2"/>
  <c r="O107" i="2"/>
  <c r="P108" i="2" s="1"/>
  <c r="L128" i="2"/>
  <c r="M123" i="2"/>
  <c r="N126" i="2" s="1"/>
  <c r="O127" i="2" s="1"/>
  <c r="M122" i="2"/>
  <c r="K39" i="3"/>
  <c r="N41" i="2"/>
  <c r="M44" i="2"/>
  <c r="N45" i="2" s="1"/>
  <c r="O189" i="2" s="1"/>
  <c r="I9" i="3"/>
  <c r="N85" i="2"/>
  <c r="O79" i="2" s="1"/>
  <c r="N111" i="2"/>
  <c r="O104" i="2" s="1"/>
  <c r="N102" i="2"/>
  <c r="N84" i="2"/>
  <c r="M87" i="2"/>
  <c r="M88" i="2"/>
  <c r="O80" i="2"/>
  <c r="Q3" i="2"/>
  <c r="P162" i="2"/>
  <c r="M45" i="2"/>
  <c r="N189" i="2" s="1"/>
  <c r="L63" i="2"/>
  <c r="N25" i="2"/>
  <c r="N22" i="2"/>
  <c r="N77" i="2"/>
  <c r="L64" i="2"/>
  <c r="N26" i="2"/>
  <c r="M33" i="3"/>
  <c r="O174" i="2"/>
  <c r="O175" i="2"/>
  <c r="O180" i="2"/>
  <c r="N16" i="2"/>
  <c r="N27" i="2"/>
  <c r="N21" i="2"/>
  <c r="N94" i="2"/>
  <c r="N129" i="2"/>
  <c r="O6" i="2"/>
  <c r="O181" i="2"/>
  <c r="J32" i="3"/>
  <c r="K29" i="2"/>
  <c r="J36" i="3"/>
  <c r="G12" i="1"/>
  <c r="G18" i="1" s="1"/>
  <c r="I39" i="1"/>
  <c r="I19" i="1"/>
  <c r="J19" i="1" s="1"/>
  <c r="E42" i="1"/>
  <c r="E36" i="1" s="1"/>
  <c r="I13" i="1"/>
  <c r="I32" i="1" s="1"/>
  <c r="I14" i="1"/>
  <c r="I33" i="1" s="1"/>
  <c r="I11" i="1"/>
  <c r="I30" i="1" s="1"/>
  <c r="E28" i="1"/>
  <c r="E5" i="1" s="1"/>
  <c r="J10" i="1"/>
  <c r="L93" i="2" l="1"/>
  <c r="L191" i="2"/>
  <c r="S110" i="2"/>
  <c r="O120" i="2"/>
  <c r="O56" i="2"/>
  <c r="N96" i="2"/>
  <c r="O99" i="2" s="1"/>
  <c r="P100" i="2" s="1"/>
  <c r="N99" i="2"/>
  <c r="O100" i="2" s="1"/>
  <c r="P192" i="2" s="1"/>
  <c r="M70" i="2"/>
  <c r="K38" i="3"/>
  <c r="O20" i="3"/>
  <c r="O53" i="3" s="1"/>
  <c r="J10" i="3"/>
  <c r="O13" i="3"/>
  <c r="O54" i="3" s="1"/>
  <c r="O63" i="3" s="1"/>
  <c r="Q163" i="2"/>
  <c r="Q159" i="2"/>
  <c r="P113" i="2"/>
  <c r="P114" i="2"/>
  <c r="O119" i="2"/>
  <c r="N11" i="3" s="1"/>
  <c r="M52" i="2"/>
  <c r="M49" i="2" s="1"/>
  <c r="K35" i="3"/>
  <c r="Q158" i="2"/>
  <c r="L75" i="2"/>
  <c r="L76" i="2"/>
  <c r="K12" i="3" s="1"/>
  <c r="S4" i="2"/>
  <c r="R157" i="2"/>
  <c r="R161" i="2"/>
  <c r="O153" i="2"/>
  <c r="M71" i="2"/>
  <c r="M73" i="2"/>
  <c r="L65" i="2"/>
  <c r="L188" i="2" s="1"/>
  <c r="O177" i="2"/>
  <c r="AC185" i="2"/>
  <c r="AB8" i="3"/>
  <c r="L150" i="2"/>
  <c r="L166" i="2" s="1"/>
  <c r="K21" i="3" s="1"/>
  <c r="K55" i="3" s="1"/>
  <c r="J42" i="3"/>
  <c r="J64" i="3" s="1"/>
  <c r="P134" i="2"/>
  <c r="Q135" i="2" s="1"/>
  <c r="M93" i="2"/>
  <c r="O173" i="2"/>
  <c r="P132" i="2"/>
  <c r="P140" i="2"/>
  <c r="O137" i="2"/>
  <c r="P131" i="2" s="1"/>
  <c r="Q133" i="2" s="1"/>
  <c r="O145" i="2"/>
  <c r="P139" i="2" s="1"/>
  <c r="O136" i="2"/>
  <c r="O84" i="2"/>
  <c r="P80" i="2"/>
  <c r="O109" i="2"/>
  <c r="P105" i="2"/>
  <c r="P107" i="2"/>
  <c r="Q108" i="2" s="1"/>
  <c r="M92" i="2"/>
  <c r="M128" i="2"/>
  <c r="N123" i="2"/>
  <c r="O126" i="2" s="1"/>
  <c r="P127" i="2" s="1"/>
  <c r="N122" i="2"/>
  <c r="L39" i="3"/>
  <c r="J9" i="3"/>
  <c r="O43" i="2"/>
  <c r="O40" i="2" s="1"/>
  <c r="N44" i="2"/>
  <c r="O45" i="2" s="1"/>
  <c r="P189" i="2" s="1"/>
  <c r="O85" i="2"/>
  <c r="P79" i="2" s="1"/>
  <c r="O102" i="2"/>
  <c r="O111" i="2"/>
  <c r="P104" i="2" s="1"/>
  <c r="P82" i="2"/>
  <c r="Q83" i="2" s="1"/>
  <c r="N90" i="2"/>
  <c r="O91" i="2" s="1"/>
  <c r="N87" i="2"/>
  <c r="N88" i="2"/>
  <c r="R3" i="2"/>
  <c r="Q162" i="2"/>
  <c r="M60" i="2"/>
  <c r="N60" i="2" s="1"/>
  <c r="O60" i="2" s="1"/>
  <c r="P60" i="2" s="1"/>
  <c r="O22" i="2"/>
  <c r="O25" i="2"/>
  <c r="O77" i="2"/>
  <c r="M64" i="2"/>
  <c r="O26" i="2"/>
  <c r="J7" i="3"/>
  <c r="P175" i="2"/>
  <c r="P180" i="2"/>
  <c r="P174" i="2"/>
  <c r="O16" i="2"/>
  <c r="O27" i="2"/>
  <c r="O21" i="2"/>
  <c r="O94" i="2"/>
  <c r="O129" i="2"/>
  <c r="P6" i="2"/>
  <c r="P181" i="2"/>
  <c r="K32" i="3"/>
  <c r="M29" i="2"/>
  <c r="K36" i="3"/>
  <c r="L29" i="2"/>
  <c r="J39" i="1"/>
  <c r="G31" i="1"/>
  <c r="J13" i="1"/>
  <c r="J32" i="1" s="1"/>
  <c r="J14" i="1"/>
  <c r="J33" i="1" s="1"/>
  <c r="J11" i="1"/>
  <c r="J30" i="1" s="1"/>
  <c r="F15" i="1"/>
  <c r="F42" i="1" s="1"/>
  <c r="F36" i="1" s="1"/>
  <c r="F46" i="1" s="1"/>
  <c r="K10" i="1"/>
  <c r="K39" i="1" s="1"/>
  <c r="Q192" i="2" l="1"/>
  <c r="O97" i="2"/>
  <c r="N101" i="2"/>
  <c r="O96" i="2"/>
  <c r="P97" i="2" s="1"/>
  <c r="T110" i="2"/>
  <c r="N70" i="2"/>
  <c r="L38" i="3"/>
  <c r="P20" i="3"/>
  <c r="P53" i="3" s="1"/>
  <c r="Q116" i="2"/>
  <c r="Q164" i="2" s="1"/>
  <c r="P13" i="3" s="1"/>
  <c r="P54" i="3" s="1"/>
  <c r="P63" i="3" s="1"/>
  <c r="O41" i="3"/>
  <c r="R163" i="2"/>
  <c r="R159" i="2"/>
  <c r="R164" i="2"/>
  <c r="P38" i="2"/>
  <c r="P32" i="2" s="1"/>
  <c r="P120" i="2"/>
  <c r="P119" i="2"/>
  <c r="O11" i="3" s="1"/>
  <c r="P40" i="2"/>
  <c r="M163" i="2"/>
  <c r="R158" i="2"/>
  <c r="M63" i="2"/>
  <c r="N64" i="2" s="1"/>
  <c r="T4" i="2"/>
  <c r="S157" i="2"/>
  <c r="S161" i="2"/>
  <c r="O161" i="2"/>
  <c r="N13" i="3" s="1"/>
  <c r="N54" i="3" s="1"/>
  <c r="N63" i="3" s="1"/>
  <c r="O36" i="2"/>
  <c r="P37" i="2" s="1"/>
  <c r="P33" i="2"/>
  <c r="M76" i="2"/>
  <c r="L12" i="3" s="1"/>
  <c r="M75" i="2"/>
  <c r="N73" i="2"/>
  <c r="P153" i="2"/>
  <c r="P56" i="2"/>
  <c r="N71" i="2"/>
  <c r="M50" i="2"/>
  <c r="L55" i="2"/>
  <c r="M190" i="2" s="1"/>
  <c r="M53" i="2"/>
  <c r="N54" i="2" s="1"/>
  <c r="Q134" i="2"/>
  <c r="R135" i="2" s="1"/>
  <c r="P177" i="2"/>
  <c r="AC8" i="3"/>
  <c r="AD185" i="2"/>
  <c r="L148" i="2"/>
  <c r="M150" i="2" s="1"/>
  <c r="M166" i="2" s="1"/>
  <c r="L21" i="3" s="1"/>
  <c r="L55" i="3" s="1"/>
  <c r="N93" i="2"/>
  <c r="P173" i="2"/>
  <c r="P99" i="2"/>
  <c r="Q100" i="2" s="1"/>
  <c r="Q132" i="2"/>
  <c r="Q140" i="2"/>
  <c r="P137" i="2"/>
  <c r="Q131" i="2" s="1"/>
  <c r="P145" i="2"/>
  <c r="Q139" i="2" s="1"/>
  <c r="Q82" i="2"/>
  <c r="R83" i="2" s="1"/>
  <c r="P84" i="2"/>
  <c r="P136" i="2"/>
  <c r="K9" i="3"/>
  <c r="P109" i="2"/>
  <c r="Q105" i="2"/>
  <c r="Q107" i="2"/>
  <c r="R108" i="2" s="1"/>
  <c r="N92" i="2"/>
  <c r="O41" i="2"/>
  <c r="Q80" i="2"/>
  <c r="N128" i="2"/>
  <c r="O123" i="2"/>
  <c r="P126" i="2" s="1"/>
  <c r="Q127" i="2" s="1"/>
  <c r="O122" i="2"/>
  <c r="M39" i="3"/>
  <c r="P85" i="2"/>
  <c r="Q79" i="2" s="1"/>
  <c r="P111" i="2"/>
  <c r="Q104" i="2" s="1"/>
  <c r="P102" i="2"/>
  <c r="O88" i="2"/>
  <c r="O87" i="2"/>
  <c r="O90" i="2"/>
  <c r="P91" i="2" s="1"/>
  <c r="S3" i="2"/>
  <c r="S159" i="2" s="1"/>
  <c r="M162" i="2"/>
  <c r="M61" i="2"/>
  <c r="N61" i="2" s="1"/>
  <c r="O61" i="2" s="1"/>
  <c r="P61" i="2" s="1"/>
  <c r="Q61" i="2" s="1"/>
  <c r="P22" i="2"/>
  <c r="P25" i="2"/>
  <c r="P77" i="2"/>
  <c r="P26" i="2"/>
  <c r="L7" i="3"/>
  <c r="K7" i="3"/>
  <c r="Q174" i="2"/>
  <c r="Q175" i="2"/>
  <c r="Q180" i="2"/>
  <c r="P16" i="2"/>
  <c r="P27" i="2"/>
  <c r="P21" i="2"/>
  <c r="P94" i="2"/>
  <c r="P129" i="2"/>
  <c r="Q6" i="2"/>
  <c r="Q181" i="2"/>
  <c r="L32" i="3"/>
  <c r="H12" i="1"/>
  <c r="H18" i="1" s="1"/>
  <c r="K19" i="1"/>
  <c r="K14" i="1"/>
  <c r="K33" i="1" s="1"/>
  <c r="K13" i="1"/>
  <c r="K32" i="1" s="1"/>
  <c r="K11" i="1"/>
  <c r="K30" i="1" s="1"/>
  <c r="G26" i="1"/>
  <c r="L10" i="1"/>
  <c r="O101" i="2" l="1"/>
  <c r="P96" i="2"/>
  <c r="U110" i="2"/>
  <c r="Q120" i="2"/>
  <c r="Q113" i="2"/>
  <c r="P41" i="3" s="1"/>
  <c r="Q114" i="2"/>
  <c r="R117" i="2" s="1"/>
  <c r="S118" i="2" s="1"/>
  <c r="M38" i="3"/>
  <c r="O70" i="2"/>
  <c r="N75" i="2"/>
  <c r="O73" i="2"/>
  <c r="N76" i="2"/>
  <c r="M12" i="3" s="1"/>
  <c r="O71" i="2"/>
  <c r="P101" i="2"/>
  <c r="R192" i="2"/>
  <c r="K10" i="3"/>
  <c r="Q20" i="3"/>
  <c r="Q53" i="3" s="1"/>
  <c r="Q117" i="2"/>
  <c r="R118" i="2" s="1"/>
  <c r="Q119" i="2"/>
  <c r="P11" i="3" s="1"/>
  <c r="S158" i="2"/>
  <c r="R20" i="3" s="1"/>
  <c r="R53" i="3" s="1"/>
  <c r="S163" i="2"/>
  <c r="L13" i="3"/>
  <c r="L54" i="3" s="1"/>
  <c r="L63" i="3" s="1"/>
  <c r="Q56" i="2"/>
  <c r="T157" i="2"/>
  <c r="U4" i="2"/>
  <c r="T161" i="2"/>
  <c r="O33" i="3"/>
  <c r="N33" i="3"/>
  <c r="P36" i="2"/>
  <c r="Q37" i="2" s="1"/>
  <c r="Q33" i="2"/>
  <c r="M65" i="2"/>
  <c r="M188" i="2" s="1"/>
  <c r="L152" i="2"/>
  <c r="L171" i="2" s="1"/>
  <c r="K42" i="3"/>
  <c r="K64" i="3" s="1"/>
  <c r="M148" i="2"/>
  <c r="M152" i="2" s="1"/>
  <c r="M171" i="2" s="1"/>
  <c r="AD8" i="3"/>
  <c r="AE185" i="2"/>
  <c r="Q153" i="2"/>
  <c r="Q177" i="2"/>
  <c r="R134" i="2"/>
  <c r="S135" i="2" s="1"/>
  <c r="O93" i="2"/>
  <c r="Q99" i="2"/>
  <c r="R100" i="2" s="1"/>
  <c r="Q97" i="2"/>
  <c r="Q96" i="2"/>
  <c r="R97" i="2" s="1"/>
  <c r="Q173" i="2"/>
  <c r="R132" i="2"/>
  <c r="R140" i="2"/>
  <c r="Q137" i="2"/>
  <c r="R131" i="2" s="1"/>
  <c r="Q145" i="2"/>
  <c r="R139" i="2" s="1"/>
  <c r="Q136" i="2"/>
  <c r="R80" i="2"/>
  <c r="R82" i="2"/>
  <c r="S83" i="2" s="1"/>
  <c r="Q109" i="2"/>
  <c r="R105" i="2"/>
  <c r="R107" i="2"/>
  <c r="S108" i="2" s="1"/>
  <c r="Q85" i="2"/>
  <c r="R79" i="2" s="1"/>
  <c r="S81" i="2" s="1"/>
  <c r="S164" i="2" s="1"/>
  <c r="Q111" i="2"/>
  <c r="R104" i="2" s="1"/>
  <c r="Q102" i="2"/>
  <c r="P44" i="2"/>
  <c r="Q45" i="2" s="1"/>
  <c r="Q41" i="2"/>
  <c r="O44" i="2"/>
  <c r="P45" i="2" s="1"/>
  <c r="Q189" i="2" s="1"/>
  <c r="P41" i="2"/>
  <c r="O128" i="2"/>
  <c r="P123" i="2"/>
  <c r="Q126" i="2" s="1"/>
  <c r="R127" i="2" s="1"/>
  <c r="P122" i="2"/>
  <c r="N39" i="3"/>
  <c r="Q84" i="2"/>
  <c r="O92" i="2"/>
  <c r="L36" i="3"/>
  <c r="N63" i="2"/>
  <c r="O64" i="2" s="1"/>
  <c r="P87" i="2"/>
  <c r="P90" i="2"/>
  <c r="Q91" i="2" s="1"/>
  <c r="P88" i="2"/>
  <c r="T3" i="2"/>
  <c r="S162" i="2"/>
  <c r="Q25" i="2"/>
  <c r="Q22" i="2"/>
  <c r="Q77" i="2"/>
  <c r="R180" i="2"/>
  <c r="R174" i="2"/>
  <c r="R175" i="2"/>
  <c r="Q16" i="2"/>
  <c r="Q27" i="2"/>
  <c r="Q21" i="2"/>
  <c r="Q94" i="2"/>
  <c r="Q129" i="2"/>
  <c r="R6" i="2"/>
  <c r="R181" i="2"/>
  <c r="N29" i="2"/>
  <c r="M32" i="3"/>
  <c r="H31" i="1"/>
  <c r="I12" i="1" s="1"/>
  <c r="L19" i="1"/>
  <c r="I18" i="1"/>
  <c r="L13" i="1"/>
  <c r="L32" i="1" s="1"/>
  <c r="I31" i="1"/>
  <c r="L14" i="1"/>
  <c r="L33" i="1" s="1"/>
  <c r="F28" i="1"/>
  <c r="L11" i="1"/>
  <c r="L30" i="1" s="1"/>
  <c r="M10" i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R114" i="2" l="1"/>
  <c r="S117" i="2" s="1"/>
  <c r="T118" i="2" s="1"/>
  <c r="R113" i="2"/>
  <c r="Q41" i="3" s="1"/>
  <c r="V110" i="2"/>
  <c r="Q60" i="2"/>
  <c r="N38" i="3"/>
  <c r="O75" i="2"/>
  <c r="P70" i="2"/>
  <c r="P71" i="2"/>
  <c r="P73" i="2"/>
  <c r="O76" i="2"/>
  <c r="N12" i="3" s="1"/>
  <c r="S192" i="2"/>
  <c r="R189" i="2"/>
  <c r="R13" i="3"/>
  <c r="R54" i="3" s="1"/>
  <c r="R63" i="3" s="1"/>
  <c r="L9" i="3"/>
  <c r="T163" i="2"/>
  <c r="T159" i="2"/>
  <c r="T164" i="2"/>
  <c r="R38" i="2"/>
  <c r="R120" i="2"/>
  <c r="S114" i="2"/>
  <c r="T117" i="2" s="1"/>
  <c r="U118" i="2" s="1"/>
  <c r="S113" i="2"/>
  <c r="R41" i="3" s="1"/>
  <c r="R119" i="2"/>
  <c r="Q11" i="3" s="1"/>
  <c r="Q38" i="2"/>
  <c r="Q32" i="2" s="1"/>
  <c r="Q40" i="2"/>
  <c r="R40" i="2" s="1"/>
  <c r="T158" i="2"/>
  <c r="N65" i="2"/>
  <c r="N188" i="2" s="1"/>
  <c r="V4" i="2"/>
  <c r="U157" i="2"/>
  <c r="R153" i="2"/>
  <c r="R56" i="2"/>
  <c r="N150" i="2"/>
  <c r="N166" i="2" s="1"/>
  <c r="M21" i="3" s="1"/>
  <c r="M55" i="3" s="1"/>
  <c r="L42" i="3"/>
  <c r="L64" i="3" s="1"/>
  <c r="AF185" i="2"/>
  <c r="AE8" i="3"/>
  <c r="S132" i="2"/>
  <c r="R177" i="2"/>
  <c r="Q101" i="2"/>
  <c r="P93" i="2"/>
  <c r="R99" i="2"/>
  <c r="S100" i="2" s="1"/>
  <c r="S134" i="2"/>
  <c r="T135" i="2" s="1"/>
  <c r="R96" i="2"/>
  <c r="S99" i="2" s="1"/>
  <c r="T100" i="2" s="1"/>
  <c r="R173" i="2"/>
  <c r="S140" i="2"/>
  <c r="R137" i="2"/>
  <c r="S131" i="2" s="1"/>
  <c r="R145" i="2"/>
  <c r="S139" i="2" s="1"/>
  <c r="R136" i="2"/>
  <c r="P92" i="2"/>
  <c r="R109" i="2"/>
  <c r="S105" i="2"/>
  <c r="S107" i="2"/>
  <c r="T108" i="2" s="1"/>
  <c r="R85" i="2"/>
  <c r="S79" i="2" s="1"/>
  <c r="R111" i="2"/>
  <c r="S104" i="2" s="1"/>
  <c r="R102" i="2"/>
  <c r="R84" i="2"/>
  <c r="S80" i="2"/>
  <c r="P128" i="2"/>
  <c r="Q123" i="2"/>
  <c r="R126" i="2" s="1"/>
  <c r="S127" i="2" s="1"/>
  <c r="Q122" i="2"/>
  <c r="O39" i="3"/>
  <c r="Q90" i="2"/>
  <c r="R91" i="2" s="1"/>
  <c r="Q88" i="2"/>
  <c r="Q87" i="2"/>
  <c r="O63" i="2"/>
  <c r="P64" i="2" s="1"/>
  <c r="M36" i="3"/>
  <c r="S82" i="2"/>
  <c r="T83" i="2" s="1"/>
  <c r="U3" i="2"/>
  <c r="U159" i="2" s="1"/>
  <c r="R25" i="2"/>
  <c r="R22" i="2"/>
  <c r="R77" i="2"/>
  <c r="Q26" i="2"/>
  <c r="R26" i="2"/>
  <c r="M7" i="3"/>
  <c r="S175" i="2"/>
  <c r="S174" i="2"/>
  <c r="S180" i="2"/>
  <c r="R16" i="2"/>
  <c r="R27" i="2"/>
  <c r="R21" i="2"/>
  <c r="R129" i="2"/>
  <c r="R94" i="2"/>
  <c r="S6" i="2"/>
  <c r="S181" i="2"/>
  <c r="N32" i="3"/>
  <c r="P29" i="2"/>
  <c r="O29" i="2"/>
  <c r="J12" i="1"/>
  <c r="J18" i="1" s="1"/>
  <c r="M19" i="1"/>
  <c r="N19" i="1" s="1"/>
  <c r="O19" i="1" s="1"/>
  <c r="P19" i="1" s="1"/>
  <c r="R19" i="1" s="1"/>
  <c r="S19" i="1" s="1"/>
  <c r="T19" i="1" s="1"/>
  <c r="U19" i="1" s="1"/>
  <c r="V19" i="1" s="1"/>
  <c r="W19" i="1" s="1"/>
  <c r="X19" i="1" s="1"/>
  <c r="Y19" i="1" s="1"/>
  <c r="Z19" i="1" s="1"/>
  <c r="M13" i="1"/>
  <c r="M32" i="1" s="1"/>
  <c r="M14" i="1"/>
  <c r="M33" i="1" s="1"/>
  <c r="F5" i="1"/>
  <c r="G15" i="1"/>
  <c r="M11" i="1"/>
  <c r="M30" i="1" s="1"/>
  <c r="Z10" i="1"/>
  <c r="W110" i="2" l="1"/>
  <c r="R32" i="2"/>
  <c r="R62" i="2"/>
  <c r="R63" i="2" s="1"/>
  <c r="P76" i="2"/>
  <c r="O12" i="3" s="1"/>
  <c r="O38" i="3"/>
  <c r="P75" i="2"/>
  <c r="Q70" i="2"/>
  <c r="Q73" i="2"/>
  <c r="Q71" i="2"/>
  <c r="S20" i="3"/>
  <c r="S53" i="3" s="1"/>
  <c r="O65" i="2"/>
  <c r="O188" i="2" s="1"/>
  <c r="T192" i="2"/>
  <c r="Q36" i="2"/>
  <c r="R37" i="2" s="1"/>
  <c r="S38" i="2"/>
  <c r="S32" i="2" s="1"/>
  <c r="S120" i="2"/>
  <c r="T113" i="2" s="1"/>
  <c r="S41" i="3" s="1"/>
  <c r="T114" i="2"/>
  <c r="U117" i="2" s="1"/>
  <c r="V118" i="2" s="1"/>
  <c r="S119" i="2"/>
  <c r="R11" i="3" s="1"/>
  <c r="P33" i="3"/>
  <c r="R41" i="2"/>
  <c r="U158" i="2"/>
  <c r="T20" i="3" s="1"/>
  <c r="T53" i="3" s="1"/>
  <c r="U163" i="2"/>
  <c r="Q44" i="2"/>
  <c r="R45" i="2" s="1"/>
  <c r="S40" i="2"/>
  <c r="M9" i="3"/>
  <c r="P63" i="2"/>
  <c r="Q64" i="2" s="1"/>
  <c r="N36" i="3"/>
  <c r="W4" i="2"/>
  <c r="V157" i="2"/>
  <c r="Q33" i="3"/>
  <c r="R33" i="2"/>
  <c r="R36" i="2" s="1"/>
  <c r="S37" i="2" s="1"/>
  <c r="N148" i="2"/>
  <c r="O150" i="2" s="1"/>
  <c r="O166" i="2" s="1"/>
  <c r="N21" i="3" s="1"/>
  <c r="N55" i="3" s="1"/>
  <c r="S153" i="2"/>
  <c r="S56" i="2"/>
  <c r="AF8" i="3"/>
  <c r="AG185" i="2"/>
  <c r="T134" i="2"/>
  <c r="U135" i="2" s="1"/>
  <c r="S177" i="2"/>
  <c r="T132" i="2"/>
  <c r="S96" i="2"/>
  <c r="T97" i="2" s="1"/>
  <c r="S97" i="2"/>
  <c r="R101" i="2"/>
  <c r="Q93" i="2"/>
  <c r="S173" i="2"/>
  <c r="T140" i="2"/>
  <c r="S137" i="2"/>
  <c r="T131" i="2" s="1"/>
  <c r="S145" i="2"/>
  <c r="T139" i="2" s="1"/>
  <c r="S136" i="2"/>
  <c r="S109" i="2"/>
  <c r="T105" i="2"/>
  <c r="T107" i="2"/>
  <c r="U108" i="2" s="1"/>
  <c r="T82" i="2"/>
  <c r="U83" i="2" s="1"/>
  <c r="T80" i="2"/>
  <c r="S85" i="2"/>
  <c r="T79" i="2" s="1"/>
  <c r="S102" i="2"/>
  <c r="S111" i="2"/>
  <c r="T104" i="2" s="1"/>
  <c r="Q128" i="2"/>
  <c r="R123" i="2"/>
  <c r="S126" i="2" s="1"/>
  <c r="T127" i="2" s="1"/>
  <c r="U192" i="2" s="1"/>
  <c r="R122" i="2"/>
  <c r="P39" i="3"/>
  <c r="Q92" i="2"/>
  <c r="S84" i="2"/>
  <c r="R44" i="2"/>
  <c r="S45" i="2" s="1"/>
  <c r="S41" i="2"/>
  <c r="R87" i="2"/>
  <c r="R88" i="2"/>
  <c r="R90" i="2"/>
  <c r="S91" i="2" s="1"/>
  <c r="V3" i="2"/>
  <c r="V159" i="2" s="1"/>
  <c r="U162" i="2"/>
  <c r="S25" i="2"/>
  <c r="S22" i="2"/>
  <c r="S77" i="2"/>
  <c r="S26" i="2"/>
  <c r="O7" i="3"/>
  <c r="T180" i="2"/>
  <c r="T174" i="2"/>
  <c r="T175" i="2"/>
  <c r="S16" i="2"/>
  <c r="S27" i="2"/>
  <c r="S21" i="2"/>
  <c r="S94" i="2"/>
  <c r="S129" i="2"/>
  <c r="T6" i="2"/>
  <c r="T181" i="2"/>
  <c r="O32" i="3"/>
  <c r="Q29" i="2"/>
  <c r="N7" i="3"/>
  <c r="G17" i="1"/>
  <c r="H26" i="1" s="1"/>
  <c r="G42" i="1"/>
  <c r="G36" i="1" s="1"/>
  <c r="N13" i="1"/>
  <c r="N32" i="1" s="1"/>
  <c r="N14" i="1"/>
  <c r="N33" i="1" s="1"/>
  <c r="J31" i="1"/>
  <c r="N11" i="1"/>
  <c r="N30" i="1" s="1"/>
  <c r="AA10" i="1"/>
  <c r="AA19" i="1" s="1"/>
  <c r="X110" i="2" l="1"/>
  <c r="R60" i="2"/>
  <c r="S60" i="2" s="1"/>
  <c r="R61" i="2"/>
  <c r="S61" i="2" s="1"/>
  <c r="R162" i="2"/>
  <c r="Q13" i="3" s="1"/>
  <c r="Q54" i="3" s="1"/>
  <c r="Q63" i="3" s="1"/>
  <c r="Q76" i="2"/>
  <c r="P12" i="3" s="1"/>
  <c r="P38" i="3"/>
  <c r="R71" i="2"/>
  <c r="Q75" i="2"/>
  <c r="R70" i="2"/>
  <c r="R73" i="2"/>
  <c r="P65" i="2"/>
  <c r="P188" i="2" s="1"/>
  <c r="N9" i="3"/>
  <c r="T189" i="2"/>
  <c r="S189" i="2"/>
  <c r="T38" i="2"/>
  <c r="T32" i="2" s="1"/>
  <c r="T120" i="2"/>
  <c r="U113" i="2" s="1"/>
  <c r="T41" i="3" s="1"/>
  <c r="U114" i="2"/>
  <c r="V117" i="2" s="1"/>
  <c r="W118" i="2" s="1"/>
  <c r="T119" i="2"/>
  <c r="S11" i="3" s="1"/>
  <c r="V158" i="2"/>
  <c r="U20" i="3" s="1"/>
  <c r="U53" i="3" s="1"/>
  <c r="V163" i="2"/>
  <c r="T40" i="2"/>
  <c r="Q63" i="2"/>
  <c r="R64" i="2" s="1"/>
  <c r="O36" i="3"/>
  <c r="X4" i="2"/>
  <c r="W161" i="2"/>
  <c r="W157" i="2"/>
  <c r="R33" i="3"/>
  <c r="S33" i="2"/>
  <c r="S36" i="2" s="1"/>
  <c r="T37" i="2" s="1"/>
  <c r="T153" i="2"/>
  <c r="T56" i="2"/>
  <c r="N152" i="2"/>
  <c r="N171" i="2" s="1"/>
  <c r="M42" i="3"/>
  <c r="M64" i="3" s="1"/>
  <c r="O148" i="2"/>
  <c r="O152" i="2" s="1"/>
  <c r="O171" i="2" s="1"/>
  <c r="S101" i="2"/>
  <c r="AG8" i="3"/>
  <c r="AH185" i="2"/>
  <c r="T96" i="2"/>
  <c r="U97" i="2" s="1"/>
  <c r="T99" i="2"/>
  <c r="U100" i="2" s="1"/>
  <c r="U134" i="2"/>
  <c r="V135" i="2" s="1"/>
  <c r="T177" i="2"/>
  <c r="R93" i="2"/>
  <c r="U132" i="2"/>
  <c r="T173" i="2"/>
  <c r="U140" i="2"/>
  <c r="T137" i="2"/>
  <c r="U131" i="2" s="1"/>
  <c r="T145" i="2"/>
  <c r="U139" i="2" s="1"/>
  <c r="T136" i="2"/>
  <c r="T109" i="2"/>
  <c r="U105" i="2"/>
  <c r="U107" i="2"/>
  <c r="V108" i="2" s="1"/>
  <c r="U82" i="2"/>
  <c r="V83" i="2" s="1"/>
  <c r="T84" i="2"/>
  <c r="T85" i="2"/>
  <c r="U79" i="2" s="1"/>
  <c r="T102" i="2"/>
  <c r="T111" i="2"/>
  <c r="U104" i="2" s="1"/>
  <c r="S44" i="2"/>
  <c r="T45" i="2" s="1"/>
  <c r="T41" i="2"/>
  <c r="R128" i="2"/>
  <c r="S123" i="2"/>
  <c r="T126" i="2" s="1"/>
  <c r="U127" i="2" s="1"/>
  <c r="S122" i="2"/>
  <c r="Q39" i="3"/>
  <c r="R92" i="2"/>
  <c r="U80" i="2"/>
  <c r="S88" i="2"/>
  <c r="S90" i="2"/>
  <c r="T91" i="2" s="1"/>
  <c r="S87" i="2"/>
  <c r="W3" i="2"/>
  <c r="V162" i="2"/>
  <c r="T25" i="2"/>
  <c r="T22" i="2"/>
  <c r="T77" i="2"/>
  <c r="T26" i="2"/>
  <c r="P7" i="3"/>
  <c r="U174" i="2"/>
  <c r="U175" i="2"/>
  <c r="U180" i="2"/>
  <c r="T16" i="2"/>
  <c r="T27" i="2"/>
  <c r="T21" i="2"/>
  <c r="T94" i="2"/>
  <c r="T129" i="2"/>
  <c r="U6" i="2"/>
  <c r="U181" i="2"/>
  <c r="P32" i="3"/>
  <c r="R29" i="2"/>
  <c r="K12" i="1"/>
  <c r="K18" i="1" s="1"/>
  <c r="G28" i="1"/>
  <c r="G5" i="1" s="1"/>
  <c r="O14" i="1"/>
  <c r="O33" i="1" s="1"/>
  <c r="O13" i="1"/>
  <c r="O32" i="1" s="1"/>
  <c r="O11" i="1"/>
  <c r="O30" i="1" s="1"/>
  <c r="AB10" i="1"/>
  <c r="AB19" i="1" s="1"/>
  <c r="Y110" i="2" l="1"/>
  <c r="Q38" i="3"/>
  <c r="R76" i="2"/>
  <c r="Q12" i="3" s="1"/>
  <c r="S70" i="2"/>
  <c r="S73" i="2"/>
  <c r="S71" i="2"/>
  <c r="R75" i="2"/>
  <c r="V192" i="2"/>
  <c r="O9" i="3"/>
  <c r="Q65" i="2"/>
  <c r="Q188" i="2" s="1"/>
  <c r="S33" i="3"/>
  <c r="U189" i="2"/>
  <c r="S65" i="2"/>
  <c r="W163" i="2"/>
  <c r="W159" i="2"/>
  <c r="W164" i="2"/>
  <c r="U38" i="2"/>
  <c r="U120" i="2"/>
  <c r="V113" i="2" s="1"/>
  <c r="U41" i="3" s="1"/>
  <c r="U119" i="2"/>
  <c r="T11" i="3" s="1"/>
  <c r="V114" i="2"/>
  <c r="W117" i="2" s="1"/>
  <c r="X118" i="2" s="1"/>
  <c r="W158" i="2"/>
  <c r="U40" i="2"/>
  <c r="P36" i="3"/>
  <c r="Y4" i="2"/>
  <c r="X157" i="2"/>
  <c r="X161" i="2"/>
  <c r="T33" i="2"/>
  <c r="U35" i="2"/>
  <c r="U153" i="2"/>
  <c r="U56" i="2"/>
  <c r="P150" i="2"/>
  <c r="P166" i="2" s="1"/>
  <c r="O21" i="3" s="1"/>
  <c r="O55" i="3" s="1"/>
  <c r="N42" i="3"/>
  <c r="N64" i="3" s="1"/>
  <c r="U99" i="2"/>
  <c r="V100" i="2" s="1"/>
  <c r="U96" i="2"/>
  <c r="V99" i="2" s="1"/>
  <c r="W100" i="2" s="1"/>
  <c r="T101" i="2"/>
  <c r="AI185" i="2"/>
  <c r="AH8" i="3"/>
  <c r="U177" i="2"/>
  <c r="V134" i="2"/>
  <c r="W135" i="2" s="1"/>
  <c r="S93" i="2"/>
  <c r="V132" i="2"/>
  <c r="U173" i="2"/>
  <c r="V141" i="2"/>
  <c r="V164" i="2" s="1"/>
  <c r="U137" i="2"/>
  <c r="V131" i="2" s="1"/>
  <c r="U145" i="2"/>
  <c r="U136" i="2"/>
  <c r="V82" i="2"/>
  <c r="W83" i="2" s="1"/>
  <c r="U84" i="2"/>
  <c r="V80" i="2"/>
  <c r="U109" i="2"/>
  <c r="V105" i="2"/>
  <c r="V107" i="2"/>
  <c r="W108" i="2" s="1"/>
  <c r="T44" i="2"/>
  <c r="U45" i="2" s="1"/>
  <c r="U41" i="2"/>
  <c r="S128" i="2"/>
  <c r="T123" i="2"/>
  <c r="U126" i="2" s="1"/>
  <c r="V127" i="2" s="1"/>
  <c r="T122" i="2"/>
  <c r="R39" i="3"/>
  <c r="U85" i="2"/>
  <c r="V79" i="2" s="1"/>
  <c r="U102" i="2"/>
  <c r="U111" i="2"/>
  <c r="V104" i="2" s="1"/>
  <c r="S92" i="2"/>
  <c r="T90" i="2"/>
  <c r="U91" i="2" s="1"/>
  <c r="T88" i="2"/>
  <c r="T87" i="2"/>
  <c r="X3" i="2"/>
  <c r="W162" i="2"/>
  <c r="S63" i="2"/>
  <c r="T64" i="2" s="1"/>
  <c r="U22" i="2"/>
  <c r="U25" i="2"/>
  <c r="U77" i="2"/>
  <c r="S64" i="2"/>
  <c r="U26" i="2"/>
  <c r="V175" i="2"/>
  <c r="V180" i="2"/>
  <c r="V174" i="2"/>
  <c r="U16" i="2"/>
  <c r="U27" i="2"/>
  <c r="U21" i="2"/>
  <c r="U94" i="2"/>
  <c r="U129" i="2"/>
  <c r="V6" i="2"/>
  <c r="V181" i="2"/>
  <c r="Q7" i="3"/>
  <c r="Q32" i="3"/>
  <c r="Q36" i="3"/>
  <c r="H15" i="1"/>
  <c r="H42" i="1" s="1"/>
  <c r="H36" i="1" s="1"/>
  <c r="P13" i="1"/>
  <c r="P32" i="1" s="1"/>
  <c r="P14" i="1"/>
  <c r="P33" i="1" s="1"/>
  <c r="K31" i="1"/>
  <c r="P11" i="1"/>
  <c r="P30" i="1" s="1"/>
  <c r="AC10" i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S188" i="2" l="1"/>
  <c r="R38" i="3"/>
  <c r="S76" i="2"/>
  <c r="R12" i="3" s="1"/>
  <c r="S75" i="2"/>
  <c r="T71" i="2"/>
  <c r="T73" i="2"/>
  <c r="T70" i="2"/>
  <c r="V20" i="3"/>
  <c r="V53" i="3" s="1"/>
  <c r="W192" i="2"/>
  <c r="P9" i="3"/>
  <c r="R65" i="2"/>
  <c r="R188" i="2" s="1"/>
  <c r="U89" i="2"/>
  <c r="U164" i="2" s="1"/>
  <c r="U101" i="2"/>
  <c r="V96" i="2"/>
  <c r="W99" i="2" s="1"/>
  <c r="X100" i="2" s="1"/>
  <c r="X163" i="2"/>
  <c r="X159" i="2"/>
  <c r="U32" i="2"/>
  <c r="V35" i="2" s="1"/>
  <c r="X164" i="2"/>
  <c r="V13" i="3"/>
  <c r="V54" i="3" s="1"/>
  <c r="V63" i="3" s="1"/>
  <c r="V38" i="2"/>
  <c r="V120" i="2"/>
  <c r="V119" i="2"/>
  <c r="U11" i="3" s="1"/>
  <c r="W114" i="2"/>
  <c r="X117" i="2" s="1"/>
  <c r="Y118" i="2" s="1"/>
  <c r="W113" i="2"/>
  <c r="V41" i="3" s="1"/>
  <c r="X158" i="2"/>
  <c r="V40" i="2"/>
  <c r="V97" i="2"/>
  <c r="P148" i="2"/>
  <c r="P152" i="2" s="1"/>
  <c r="P171" i="2" s="1"/>
  <c r="Z4" i="2"/>
  <c r="Y161" i="2"/>
  <c r="Y157" i="2"/>
  <c r="U33" i="2"/>
  <c r="U161" i="2"/>
  <c r="T36" i="2"/>
  <c r="U37" i="2" s="1"/>
  <c r="V189" i="2" s="1"/>
  <c r="V153" i="2"/>
  <c r="V56" i="2"/>
  <c r="AJ185" i="2"/>
  <c r="AI8" i="3"/>
  <c r="V177" i="2"/>
  <c r="W134" i="2"/>
  <c r="X135" i="2" s="1"/>
  <c r="T93" i="2"/>
  <c r="W132" i="2"/>
  <c r="V139" i="2"/>
  <c r="W140" i="2" s="1"/>
  <c r="V173" i="2"/>
  <c r="V137" i="2"/>
  <c r="W131" i="2" s="1"/>
  <c r="V145" i="2"/>
  <c r="V140" i="2"/>
  <c r="V136" i="2"/>
  <c r="V85" i="2"/>
  <c r="W79" i="2" s="1"/>
  <c r="V102" i="2"/>
  <c r="V111" i="2"/>
  <c r="W104" i="2" s="1"/>
  <c r="V109" i="2"/>
  <c r="W105" i="2"/>
  <c r="W107" i="2"/>
  <c r="X108" i="2" s="1"/>
  <c r="T92" i="2"/>
  <c r="W82" i="2"/>
  <c r="X83" i="2" s="1"/>
  <c r="V84" i="2"/>
  <c r="T128" i="2"/>
  <c r="U123" i="2"/>
  <c r="V126" i="2" s="1"/>
  <c r="W127" i="2" s="1"/>
  <c r="X192" i="2" s="1"/>
  <c r="U122" i="2"/>
  <c r="S39" i="3"/>
  <c r="U44" i="2"/>
  <c r="V45" i="2" s="1"/>
  <c r="V41" i="2"/>
  <c r="W80" i="2"/>
  <c r="Y3" i="2"/>
  <c r="X162" i="2"/>
  <c r="V22" i="2"/>
  <c r="V25" i="2"/>
  <c r="V77" i="2"/>
  <c r="V26" i="2"/>
  <c r="W180" i="2"/>
  <c r="W174" i="2"/>
  <c r="W175" i="2"/>
  <c r="V27" i="2"/>
  <c r="V21" i="2"/>
  <c r="V16" i="2"/>
  <c r="V129" i="2"/>
  <c r="V94" i="2"/>
  <c r="W6" i="2"/>
  <c r="W181" i="2"/>
  <c r="R9" i="3"/>
  <c r="R32" i="3"/>
  <c r="T29" i="2"/>
  <c r="R36" i="3"/>
  <c r="S29" i="2"/>
  <c r="L12" i="1"/>
  <c r="L18" i="1" s="1"/>
  <c r="AC19" i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AN19" i="1" s="1"/>
  <c r="H17" i="1"/>
  <c r="I26" i="1" s="1"/>
  <c r="Q14" i="1"/>
  <c r="Q33" i="1" s="1"/>
  <c r="Q13" i="1"/>
  <c r="Q32" i="1" s="1"/>
  <c r="Q11" i="1"/>
  <c r="Q30" i="1" s="1"/>
  <c r="W96" i="2" l="1"/>
  <c r="W97" i="2"/>
  <c r="V101" i="2"/>
  <c r="S38" i="3"/>
  <c r="T76" i="2"/>
  <c r="S12" i="3" s="1"/>
  <c r="U71" i="2"/>
  <c r="T75" i="2"/>
  <c r="U70" i="2"/>
  <c r="U73" i="2"/>
  <c r="W20" i="3"/>
  <c r="W53" i="3" s="1"/>
  <c r="Q9" i="3"/>
  <c r="T60" i="2"/>
  <c r="T61" i="2"/>
  <c r="U61" i="2" s="1"/>
  <c r="V32" i="2"/>
  <c r="W32" i="2" s="1"/>
  <c r="W13" i="3"/>
  <c r="W54" i="3" s="1"/>
  <c r="W63" i="3" s="1"/>
  <c r="Y163" i="2"/>
  <c r="Y159" i="2"/>
  <c r="Y164" i="2"/>
  <c r="W46" i="2"/>
  <c r="W38" i="2" s="1"/>
  <c r="W120" i="2"/>
  <c r="X114" i="2"/>
  <c r="Y117" i="2" s="1"/>
  <c r="Z118" i="2" s="1"/>
  <c r="X113" i="2"/>
  <c r="W41" i="3" s="1"/>
  <c r="W119" i="2"/>
  <c r="V11" i="3" s="1"/>
  <c r="W40" i="2"/>
  <c r="T13" i="3"/>
  <c r="T54" i="3" s="1"/>
  <c r="T63" i="3" s="1"/>
  <c r="Y158" i="2"/>
  <c r="O42" i="3"/>
  <c r="O64" i="3" s="1"/>
  <c r="Q150" i="2"/>
  <c r="T162" i="2"/>
  <c r="S13" i="3" s="1"/>
  <c r="S54" i="3" s="1"/>
  <c r="S63" i="3" s="1"/>
  <c r="T63" i="2"/>
  <c r="U64" i="2" s="1"/>
  <c r="V33" i="2"/>
  <c r="Z157" i="2"/>
  <c r="AA4" i="2"/>
  <c r="Z161" i="2"/>
  <c r="V161" i="2"/>
  <c r="U13" i="3" s="1"/>
  <c r="U54" i="3" s="1"/>
  <c r="U63" i="3" s="1"/>
  <c r="U36" i="2"/>
  <c r="V37" i="2" s="1"/>
  <c r="W189" i="2" s="1"/>
  <c r="T33" i="3"/>
  <c r="W153" i="2"/>
  <c r="W56" i="2"/>
  <c r="AK185" i="2"/>
  <c r="AJ8" i="3"/>
  <c r="W177" i="2"/>
  <c r="X134" i="2"/>
  <c r="Y135" i="2" s="1"/>
  <c r="X132" i="2"/>
  <c r="W139" i="2"/>
  <c r="X140" i="2" s="1"/>
  <c r="W173" i="2"/>
  <c r="U90" i="2"/>
  <c r="V91" i="2" s="1"/>
  <c r="U87" i="2"/>
  <c r="V88" i="2" s="1"/>
  <c r="W137" i="2"/>
  <c r="X131" i="2" s="1"/>
  <c r="W145" i="2"/>
  <c r="W136" i="2"/>
  <c r="X99" i="2"/>
  <c r="Y100" i="2" s="1"/>
  <c r="W101" i="2"/>
  <c r="X97" i="2"/>
  <c r="W41" i="2"/>
  <c r="V44" i="2"/>
  <c r="W45" i="2" s="1"/>
  <c r="X82" i="2"/>
  <c r="Y83" i="2" s="1"/>
  <c r="W84" i="2"/>
  <c r="W85" i="2"/>
  <c r="X79" i="2" s="1"/>
  <c r="W102" i="2"/>
  <c r="X96" i="2" s="1"/>
  <c r="W111" i="2"/>
  <c r="X104" i="2" s="1"/>
  <c r="W109" i="2"/>
  <c r="X105" i="2"/>
  <c r="X107" i="2"/>
  <c r="Y108" i="2" s="1"/>
  <c r="U128" i="2"/>
  <c r="V123" i="2"/>
  <c r="W126" i="2" s="1"/>
  <c r="X127" i="2" s="1"/>
  <c r="Y192" i="2" s="1"/>
  <c r="V122" i="2"/>
  <c r="T39" i="3"/>
  <c r="X80" i="2"/>
  <c r="U88" i="2"/>
  <c r="Z3" i="2"/>
  <c r="Z159" i="2" s="1"/>
  <c r="Y162" i="2"/>
  <c r="W25" i="2"/>
  <c r="W22" i="2"/>
  <c r="W77" i="2"/>
  <c r="W26" i="2"/>
  <c r="X175" i="2"/>
  <c r="X174" i="2"/>
  <c r="X180" i="2"/>
  <c r="W21" i="2"/>
  <c r="W16" i="2"/>
  <c r="W27" i="2"/>
  <c r="W129" i="2"/>
  <c r="W94" i="2"/>
  <c r="X6" i="2"/>
  <c r="X181" i="2"/>
  <c r="R7" i="3"/>
  <c r="S7" i="3"/>
  <c r="S32" i="3"/>
  <c r="U29" i="2"/>
  <c r="H28" i="1"/>
  <c r="R13" i="1"/>
  <c r="R32" i="1" s="1"/>
  <c r="R14" i="1"/>
  <c r="R33" i="1" s="1"/>
  <c r="L31" i="1"/>
  <c r="R11" i="1"/>
  <c r="R30" i="1" s="1"/>
  <c r="AK8" i="3" l="1"/>
  <c r="AL185" i="2"/>
  <c r="T38" i="3"/>
  <c r="U76" i="2"/>
  <c r="V70" i="2"/>
  <c r="V73" i="2"/>
  <c r="U75" i="2"/>
  <c r="V71" i="2"/>
  <c r="X20" i="3"/>
  <c r="X53" i="3" s="1"/>
  <c r="U60" i="2"/>
  <c r="V60" i="2" s="1"/>
  <c r="W60" i="2" s="1"/>
  <c r="X60" i="2" s="1"/>
  <c r="Y60" i="2" s="1"/>
  <c r="Z60" i="2" s="1"/>
  <c r="AA60" i="2" s="1"/>
  <c r="AB60" i="2" s="1"/>
  <c r="AC60" i="2" s="1"/>
  <c r="AD60" i="2" s="1"/>
  <c r="AE60" i="2" s="1"/>
  <c r="AF60" i="2" s="1"/>
  <c r="AG60" i="2" s="1"/>
  <c r="AH60" i="2" s="1"/>
  <c r="AI60" i="2" s="1"/>
  <c r="AJ60" i="2" s="1"/>
  <c r="AK60" i="2" s="1"/>
  <c r="T65" i="2"/>
  <c r="T188" i="2" s="1"/>
  <c r="X13" i="3"/>
  <c r="X54" i="3" s="1"/>
  <c r="X63" i="3" s="1"/>
  <c r="X46" i="2"/>
  <c r="X38" i="2" s="1"/>
  <c r="X32" i="2" s="1"/>
  <c r="X120" i="2"/>
  <c r="Y114" i="2"/>
  <c r="Z117" i="2" s="1"/>
  <c r="AA118" i="2" s="1"/>
  <c r="Y113" i="2"/>
  <c r="X41" i="3" s="1"/>
  <c r="X119" i="2"/>
  <c r="W11" i="3" s="1"/>
  <c r="Z158" i="2"/>
  <c r="Y20" i="3" s="1"/>
  <c r="Y53" i="3" s="1"/>
  <c r="Z163" i="2"/>
  <c r="Q166" i="2"/>
  <c r="P21" i="3" s="1"/>
  <c r="P55" i="3" s="1"/>
  <c r="Q148" i="2"/>
  <c r="AB4" i="2"/>
  <c r="AA161" i="2"/>
  <c r="AA157" i="2"/>
  <c r="V36" i="2"/>
  <c r="W37" i="2" s="1"/>
  <c r="X189" i="2" s="1"/>
  <c r="X33" i="2"/>
  <c r="V33" i="3"/>
  <c r="W33" i="2"/>
  <c r="U33" i="3"/>
  <c r="W36" i="2"/>
  <c r="X37" i="2" s="1"/>
  <c r="X153" i="2"/>
  <c r="X56" i="2"/>
  <c r="U63" i="2"/>
  <c r="V64" i="2" s="1"/>
  <c r="U65" i="2"/>
  <c r="U188" i="2" s="1"/>
  <c r="Y134" i="2"/>
  <c r="Z135" i="2" s="1"/>
  <c r="X177" i="2"/>
  <c r="X139" i="2"/>
  <c r="Y140" i="2" s="1"/>
  <c r="U93" i="2"/>
  <c r="T12" i="3" s="1"/>
  <c r="V87" i="2"/>
  <c r="V93" i="2" s="1"/>
  <c r="U92" i="2"/>
  <c r="X173" i="2"/>
  <c r="V90" i="2"/>
  <c r="W91" i="2" s="1"/>
  <c r="Y132" i="2"/>
  <c r="X137" i="2"/>
  <c r="Y131" i="2" s="1"/>
  <c r="X145" i="2"/>
  <c r="X136" i="2"/>
  <c r="Y97" i="2"/>
  <c r="Y99" i="2"/>
  <c r="Z100" i="2" s="1"/>
  <c r="X101" i="2"/>
  <c r="Y82" i="2"/>
  <c r="Z83" i="2" s="1"/>
  <c r="X84" i="2"/>
  <c r="V128" i="2"/>
  <c r="W123" i="2"/>
  <c r="X126" i="2" s="1"/>
  <c r="Y127" i="2" s="1"/>
  <c r="Z192" i="2" s="1"/>
  <c r="W122" i="2"/>
  <c r="U39" i="3"/>
  <c r="Y105" i="2"/>
  <c r="Y107" i="2"/>
  <c r="Z108" i="2" s="1"/>
  <c r="X109" i="2"/>
  <c r="X85" i="2"/>
  <c r="Y79" i="2" s="1"/>
  <c r="Z80" i="2" s="1"/>
  <c r="X111" i="2"/>
  <c r="Y104" i="2" s="1"/>
  <c r="X102" i="2"/>
  <c r="Y96" i="2" s="1"/>
  <c r="Y80" i="2"/>
  <c r="X41" i="2"/>
  <c r="W44" i="2"/>
  <c r="X45" i="2" s="1"/>
  <c r="AA3" i="2"/>
  <c r="Z162" i="2"/>
  <c r="X25" i="2"/>
  <c r="X22" i="2"/>
  <c r="X77" i="2"/>
  <c r="X26" i="2"/>
  <c r="Y174" i="2"/>
  <c r="Y180" i="2"/>
  <c r="Y175" i="2"/>
  <c r="X21" i="2"/>
  <c r="X16" i="2"/>
  <c r="X27" i="2"/>
  <c r="X129" i="2"/>
  <c r="X94" i="2"/>
  <c r="Y6" i="2"/>
  <c r="Y181" i="2"/>
  <c r="T7" i="3"/>
  <c r="T32" i="3"/>
  <c r="H5" i="1"/>
  <c r="I15" i="1"/>
  <c r="I42" i="1" s="1"/>
  <c r="I36" i="1" s="1"/>
  <c r="M12" i="1"/>
  <c r="M18" i="1" s="1"/>
  <c r="S13" i="1"/>
  <c r="S32" i="1" s="1"/>
  <c r="S14" i="1"/>
  <c r="S33" i="1" s="1"/>
  <c r="S11" i="1"/>
  <c r="S30" i="1" s="1"/>
  <c r="X40" i="2" l="1"/>
  <c r="AM185" i="2"/>
  <c r="AL8" i="3"/>
  <c r="AL63" i="2"/>
  <c r="AM64" i="2" s="1"/>
  <c r="AL65" i="2"/>
  <c r="AL60" i="2"/>
  <c r="U38" i="3"/>
  <c r="V76" i="2"/>
  <c r="U12" i="3" s="1"/>
  <c r="V75" i="2"/>
  <c r="W71" i="2"/>
  <c r="W73" i="2"/>
  <c r="W70" i="2"/>
  <c r="V61" i="2"/>
  <c r="W61" i="2" s="1"/>
  <c r="X61" i="2" s="1"/>
  <c r="Y61" i="2" s="1"/>
  <c r="Z61" i="2" s="1"/>
  <c r="AA61" i="2" s="1"/>
  <c r="AB61" i="2" s="1"/>
  <c r="AC61" i="2" s="1"/>
  <c r="AD61" i="2" s="1"/>
  <c r="AE61" i="2" s="1"/>
  <c r="AF61" i="2" s="1"/>
  <c r="AG61" i="2" s="1"/>
  <c r="AH61" i="2" s="1"/>
  <c r="AI61" i="2" s="1"/>
  <c r="AJ61" i="2" s="1"/>
  <c r="AK61" i="2" s="1"/>
  <c r="AL61" i="2" s="1"/>
  <c r="AM61" i="2" s="1"/>
  <c r="AN61" i="2" s="1"/>
  <c r="AO61" i="2" s="1"/>
  <c r="AP61" i="2" s="1"/>
  <c r="AQ61" i="2" s="1"/>
  <c r="AR61" i="2" s="1"/>
  <c r="S9" i="3"/>
  <c r="Y189" i="2"/>
  <c r="AA163" i="2"/>
  <c r="AA159" i="2"/>
  <c r="AA164" i="2"/>
  <c r="Y46" i="2"/>
  <c r="Y38" i="2" s="1"/>
  <c r="Y32" i="2" s="1"/>
  <c r="Y120" i="2"/>
  <c r="Z114" i="2"/>
  <c r="AA117" i="2" s="1"/>
  <c r="AB118" i="2" s="1"/>
  <c r="Z113" i="2"/>
  <c r="Y41" i="3" s="1"/>
  <c r="Y119" i="2"/>
  <c r="X11" i="3" s="1"/>
  <c r="Y40" i="2"/>
  <c r="AA158" i="2"/>
  <c r="Q152" i="2"/>
  <c r="Q171" i="2" s="1"/>
  <c r="R150" i="2"/>
  <c r="R166" i="2" s="1"/>
  <c r="Q21" i="3" s="1"/>
  <c r="Q55" i="3" s="1"/>
  <c r="P42" i="3"/>
  <c r="P64" i="3" s="1"/>
  <c r="AB157" i="2"/>
  <c r="AC4" i="2"/>
  <c r="AB161" i="2"/>
  <c r="Y33" i="2"/>
  <c r="W33" i="3"/>
  <c r="X36" i="2"/>
  <c r="Y37" i="2" s="1"/>
  <c r="Y153" i="2"/>
  <c r="Y56" i="2"/>
  <c r="V65" i="2"/>
  <c r="V188" i="2" s="1"/>
  <c r="Y139" i="2"/>
  <c r="Z140" i="2" s="1"/>
  <c r="Z132" i="2"/>
  <c r="Y177" i="2"/>
  <c r="W87" i="2"/>
  <c r="W93" i="2" s="1"/>
  <c r="W88" i="2"/>
  <c r="W90" i="2"/>
  <c r="X91" i="2" s="1"/>
  <c r="V92" i="2"/>
  <c r="Z134" i="2"/>
  <c r="AA135" i="2" s="1"/>
  <c r="Y173" i="2"/>
  <c r="Y137" i="2"/>
  <c r="Z131" i="2" s="1"/>
  <c r="Y145" i="2"/>
  <c r="Y136" i="2"/>
  <c r="V63" i="2"/>
  <c r="W64" i="2" s="1"/>
  <c r="Z97" i="2"/>
  <c r="Z99" i="2"/>
  <c r="AA100" i="2" s="1"/>
  <c r="Y101" i="2"/>
  <c r="Y41" i="2"/>
  <c r="X44" i="2"/>
  <c r="Y45" i="2" s="1"/>
  <c r="W128" i="2"/>
  <c r="X123" i="2"/>
  <c r="Y126" i="2" s="1"/>
  <c r="Z127" i="2" s="1"/>
  <c r="AA192" i="2" s="1"/>
  <c r="X122" i="2"/>
  <c r="V39" i="3"/>
  <c r="Y109" i="2"/>
  <c r="Z106" i="2"/>
  <c r="Y85" i="2"/>
  <c r="Z79" i="2" s="1"/>
  <c r="Y111" i="2"/>
  <c r="Y102" i="2"/>
  <c r="Z96" i="2" s="1"/>
  <c r="Z82" i="2"/>
  <c r="AA83" i="2" s="1"/>
  <c r="Y84" i="2"/>
  <c r="AB3" i="2"/>
  <c r="AB164" i="2" s="1"/>
  <c r="AA162" i="2"/>
  <c r="Y25" i="2"/>
  <c r="Y22" i="2"/>
  <c r="Y77" i="2"/>
  <c r="Y26" i="2"/>
  <c r="Z175" i="2"/>
  <c r="Z174" i="2"/>
  <c r="Z180" i="2"/>
  <c r="Y16" i="2"/>
  <c r="Y27" i="2"/>
  <c r="Y21" i="2"/>
  <c r="Y129" i="2"/>
  <c r="Y94" i="2"/>
  <c r="Z6" i="2"/>
  <c r="Z181" i="2"/>
  <c r="U32" i="3"/>
  <c r="V29" i="2"/>
  <c r="I17" i="1"/>
  <c r="J26" i="1" s="1"/>
  <c r="T14" i="1"/>
  <c r="T33" i="1" s="1"/>
  <c r="T13" i="1"/>
  <c r="T32" i="1" s="1"/>
  <c r="M31" i="1"/>
  <c r="T11" i="1"/>
  <c r="T30" i="1" s="1"/>
  <c r="Z20" i="3" l="1"/>
  <c r="Z53" i="3" s="1"/>
  <c r="AN185" i="2"/>
  <c r="AM8" i="3"/>
  <c r="AM63" i="2"/>
  <c r="AN64" i="2" s="1"/>
  <c r="AM60" i="2"/>
  <c r="AM65" i="2"/>
  <c r="V38" i="3"/>
  <c r="W76" i="2"/>
  <c r="V12" i="3" s="1"/>
  <c r="X70" i="2"/>
  <c r="X71" i="2"/>
  <c r="X73" i="2"/>
  <c r="W75" i="2"/>
  <c r="Z189" i="2"/>
  <c r="W65" i="2"/>
  <c r="W188" i="2" s="1"/>
  <c r="Z164" i="2"/>
  <c r="Y13" i="3" s="1"/>
  <c r="Y54" i="3" s="1"/>
  <c r="Y63" i="3" s="1"/>
  <c r="AB163" i="2"/>
  <c r="AB159" i="2"/>
  <c r="Z46" i="2"/>
  <c r="Z38" i="2" s="1"/>
  <c r="Z32" i="2" s="1"/>
  <c r="Z120" i="2"/>
  <c r="Z13" i="3"/>
  <c r="Z54" i="3" s="1"/>
  <c r="Z63" i="3" s="1"/>
  <c r="AA114" i="2"/>
  <c r="AB117" i="2" s="1"/>
  <c r="AC118" i="2" s="1"/>
  <c r="AA113" i="2"/>
  <c r="Z41" i="3" s="1"/>
  <c r="Z119" i="2"/>
  <c r="Y11" i="3" s="1"/>
  <c r="AB158" i="2"/>
  <c r="AA20" i="3" s="1"/>
  <c r="AA53" i="3" s="1"/>
  <c r="R148" i="2"/>
  <c r="W63" i="2"/>
  <c r="X64" i="2" s="1"/>
  <c r="AD4" i="2"/>
  <c r="AC161" i="2"/>
  <c r="AC157" i="2"/>
  <c r="Z33" i="2"/>
  <c r="X33" i="3"/>
  <c r="Y36" i="2"/>
  <c r="Z37" i="2" s="1"/>
  <c r="Z153" i="2"/>
  <c r="Z56" i="2"/>
  <c r="X88" i="2"/>
  <c r="AA134" i="2"/>
  <c r="AB135" i="2" s="1"/>
  <c r="X90" i="2"/>
  <c r="Y91" i="2" s="1"/>
  <c r="Z139" i="2"/>
  <c r="AA140" i="2" s="1"/>
  <c r="Z177" i="2"/>
  <c r="X87" i="2"/>
  <c r="X93" i="2" s="1"/>
  <c r="W92" i="2"/>
  <c r="AA132" i="2"/>
  <c r="Z173" i="2"/>
  <c r="Z137" i="2"/>
  <c r="AA131" i="2" s="1"/>
  <c r="Z145" i="2"/>
  <c r="Z104" i="2"/>
  <c r="AA107" i="2" s="1"/>
  <c r="AB108" i="2" s="1"/>
  <c r="Z136" i="2"/>
  <c r="Z101" i="2"/>
  <c r="AA97" i="2"/>
  <c r="AA99" i="2"/>
  <c r="AB100" i="2" s="1"/>
  <c r="Z41" i="2"/>
  <c r="Y44" i="2"/>
  <c r="Z45" i="2" s="1"/>
  <c r="Y122" i="2"/>
  <c r="X128" i="2"/>
  <c r="Y123" i="2"/>
  <c r="Z126" i="2" s="1"/>
  <c r="AA127" i="2" s="1"/>
  <c r="W39" i="3"/>
  <c r="AA82" i="2"/>
  <c r="AB83" i="2" s="1"/>
  <c r="Z84" i="2"/>
  <c r="Z85" i="2"/>
  <c r="AA79" i="2" s="1"/>
  <c r="AB80" i="2" s="1"/>
  <c r="Z111" i="2"/>
  <c r="Z102" i="2"/>
  <c r="AA96" i="2" s="1"/>
  <c r="Z107" i="2"/>
  <c r="AA108" i="2" s="1"/>
  <c r="Z105" i="2"/>
  <c r="AA80" i="2"/>
  <c r="AC3" i="2"/>
  <c r="AC159" i="2" s="1"/>
  <c r="AB162" i="2"/>
  <c r="Z25" i="2"/>
  <c r="Z22" i="2"/>
  <c r="Z77" i="2"/>
  <c r="Z26" i="2"/>
  <c r="U7" i="3"/>
  <c r="AA174" i="2"/>
  <c r="AA180" i="2"/>
  <c r="AA175" i="2"/>
  <c r="Z27" i="2"/>
  <c r="Z21" i="2"/>
  <c r="Z16" i="2"/>
  <c r="Z129" i="2"/>
  <c r="Z94" i="2"/>
  <c r="AA6" i="2"/>
  <c r="AA181" i="2"/>
  <c r="V32" i="3"/>
  <c r="W29" i="2"/>
  <c r="I28" i="1"/>
  <c r="I5" i="1" s="1"/>
  <c r="N12" i="1"/>
  <c r="N18" i="1" s="1"/>
  <c r="U14" i="1"/>
  <c r="U33" i="1" s="1"/>
  <c r="U13" i="1"/>
  <c r="U32" i="1" s="1"/>
  <c r="U11" i="1"/>
  <c r="U30" i="1" s="1"/>
  <c r="Z40" i="2" l="1"/>
  <c r="AO185" i="2"/>
  <c r="AN8" i="3"/>
  <c r="AN63" i="2"/>
  <c r="AO64" i="2" s="1"/>
  <c r="AN65" i="2"/>
  <c r="AN60" i="2"/>
  <c r="AB192" i="2"/>
  <c r="W38" i="3"/>
  <c r="X76" i="2"/>
  <c r="W12" i="3" s="1"/>
  <c r="Y70" i="2"/>
  <c r="Y73" i="2"/>
  <c r="X75" i="2"/>
  <c r="Y71" i="2"/>
  <c r="X65" i="2"/>
  <c r="X188" i="2" s="1"/>
  <c r="AA189" i="2"/>
  <c r="AA46" i="2"/>
  <c r="AA38" i="2" s="1"/>
  <c r="AA32" i="2" s="1"/>
  <c r="AA36" i="2" s="1"/>
  <c r="AB37" i="2" s="1"/>
  <c r="AA120" i="2"/>
  <c r="AA13" i="3"/>
  <c r="AA54" i="3" s="1"/>
  <c r="AA63" i="3" s="1"/>
  <c r="AB114" i="2"/>
  <c r="AC117" i="2" s="1"/>
  <c r="AD118" i="2" s="1"/>
  <c r="AB113" i="2"/>
  <c r="AA41" i="3" s="1"/>
  <c r="AA119" i="2"/>
  <c r="Z11" i="3" s="1"/>
  <c r="AA40" i="2"/>
  <c r="AB41" i="2" s="1"/>
  <c r="AC158" i="2"/>
  <c r="AB20" i="3" s="1"/>
  <c r="AB53" i="3" s="1"/>
  <c r="AC163" i="2"/>
  <c r="R152" i="2"/>
  <c r="R171" i="2" s="1"/>
  <c r="Q42" i="3"/>
  <c r="Q64" i="3" s="1"/>
  <c r="S150" i="2"/>
  <c r="S166" i="2" s="1"/>
  <c r="R21" i="3" s="1"/>
  <c r="R55" i="3" s="1"/>
  <c r="X63" i="2"/>
  <c r="Y64" i="2" s="1"/>
  <c r="Y65" i="2"/>
  <c r="Y188" i="2" s="1"/>
  <c r="Z36" i="2"/>
  <c r="AA37" i="2" s="1"/>
  <c r="AE4" i="2"/>
  <c r="AD161" i="2"/>
  <c r="AD157" i="2"/>
  <c r="AA33" i="2"/>
  <c r="Y33" i="3"/>
  <c r="AA153" i="2"/>
  <c r="AA56" i="2"/>
  <c r="AA139" i="2"/>
  <c r="AB140" i="2" s="1"/>
  <c r="AA177" i="2"/>
  <c r="AA104" i="2"/>
  <c r="AA109" i="2" s="1"/>
  <c r="AB134" i="2"/>
  <c r="AC135" i="2" s="1"/>
  <c r="Y90" i="2"/>
  <c r="Z91" i="2" s="1"/>
  <c r="Y88" i="2"/>
  <c r="Z109" i="2"/>
  <c r="Y87" i="2"/>
  <c r="Y93" i="2" s="1"/>
  <c r="X92" i="2"/>
  <c r="AA105" i="2"/>
  <c r="AB132" i="2"/>
  <c r="AA173" i="2"/>
  <c r="AA137" i="2"/>
  <c r="AB131" i="2" s="1"/>
  <c r="AC164" i="2" s="1"/>
  <c r="AA145" i="2"/>
  <c r="AA136" i="2"/>
  <c r="AA101" i="2"/>
  <c r="AB97" i="2"/>
  <c r="AB99" i="2"/>
  <c r="AC100" i="2" s="1"/>
  <c r="Z123" i="2"/>
  <c r="AA126" i="2" s="1"/>
  <c r="AB127" i="2" s="1"/>
  <c r="AC192" i="2" s="1"/>
  <c r="Z122" i="2"/>
  <c r="Y128" i="2"/>
  <c r="X39" i="3"/>
  <c r="AA41" i="2"/>
  <c r="Z44" i="2"/>
  <c r="AA45" i="2" s="1"/>
  <c r="AB82" i="2"/>
  <c r="AC83" i="2" s="1"/>
  <c r="AA84" i="2"/>
  <c r="AA85" i="2"/>
  <c r="AB79" i="2" s="1"/>
  <c r="AA111" i="2"/>
  <c r="AA102" i="2"/>
  <c r="AB96" i="2" s="1"/>
  <c r="AD3" i="2"/>
  <c r="AC162" i="2"/>
  <c r="AA25" i="2"/>
  <c r="AA22" i="2"/>
  <c r="AA77" i="2"/>
  <c r="AA26" i="2"/>
  <c r="V7" i="3"/>
  <c r="AB174" i="2"/>
  <c r="AB175" i="2"/>
  <c r="AB180" i="2"/>
  <c r="AA21" i="2"/>
  <c r="AA16" i="2"/>
  <c r="AA27" i="2"/>
  <c r="AA94" i="2"/>
  <c r="AA129" i="2"/>
  <c r="AB6" i="2"/>
  <c r="AB181" i="2"/>
  <c r="X29" i="2"/>
  <c r="W32" i="3"/>
  <c r="J15" i="1"/>
  <c r="J42" i="1" s="1"/>
  <c r="J36" i="1" s="1"/>
  <c r="V13" i="1"/>
  <c r="V32" i="1" s="1"/>
  <c r="V14" i="1"/>
  <c r="V33" i="1" s="1"/>
  <c r="N31" i="1"/>
  <c r="V11" i="1"/>
  <c r="V30" i="1" s="1"/>
  <c r="AB33" i="2" l="1"/>
  <c r="AO8" i="3"/>
  <c r="AP185" i="2"/>
  <c r="AO65" i="2"/>
  <c r="AO63" i="2"/>
  <c r="AP64" i="2" s="1"/>
  <c r="AO60" i="2"/>
  <c r="X38" i="3"/>
  <c r="Z73" i="2"/>
  <c r="Y76" i="2"/>
  <c r="X12" i="3" s="1"/>
  <c r="Y75" i="2"/>
  <c r="Z71" i="2"/>
  <c r="Z70" i="2"/>
  <c r="AB13" i="3"/>
  <c r="AB54" i="3" s="1"/>
  <c r="AB63" i="3" s="1"/>
  <c r="AB189" i="2"/>
  <c r="AD163" i="2"/>
  <c r="AD159" i="2"/>
  <c r="AD164" i="2"/>
  <c r="AB46" i="2"/>
  <c r="AB38" i="2" s="1"/>
  <c r="AB32" i="2" s="1"/>
  <c r="AB36" i="2" s="1"/>
  <c r="AC37" i="2" s="1"/>
  <c r="AB120" i="2"/>
  <c r="AC114" i="2"/>
  <c r="AD117" i="2" s="1"/>
  <c r="AE118" i="2" s="1"/>
  <c r="AC113" i="2"/>
  <c r="AB41" i="3" s="1"/>
  <c r="AB119" i="2"/>
  <c r="AA11" i="3" s="1"/>
  <c r="S148" i="2"/>
  <c r="S152" i="2" s="1"/>
  <c r="S171" i="2" s="1"/>
  <c r="AB139" i="2"/>
  <c r="AC140" i="2" s="1"/>
  <c r="AD158" i="2"/>
  <c r="AC20" i="3" s="1"/>
  <c r="AC53" i="3" s="1"/>
  <c r="Z65" i="2"/>
  <c r="Y63" i="2"/>
  <c r="Z64" i="2" s="1"/>
  <c r="AF4" i="2"/>
  <c r="AE161" i="2"/>
  <c r="AE157" i="2"/>
  <c r="Z33" i="3"/>
  <c r="AB153" i="2"/>
  <c r="AB56" i="2"/>
  <c r="AB104" i="2"/>
  <c r="AB109" i="2" s="1"/>
  <c r="AB105" i="2"/>
  <c r="AB107" i="2"/>
  <c r="AC108" i="2" s="1"/>
  <c r="AB177" i="2"/>
  <c r="Z88" i="2"/>
  <c r="Z90" i="2"/>
  <c r="AA91" i="2" s="1"/>
  <c r="Y92" i="2"/>
  <c r="Z87" i="2"/>
  <c r="Z93" i="2" s="1"/>
  <c r="AA44" i="2"/>
  <c r="AB45" i="2" s="1"/>
  <c r="AC189" i="2" s="1"/>
  <c r="AC132" i="2"/>
  <c r="AB173" i="2"/>
  <c r="AC134" i="2"/>
  <c r="AD135" i="2" s="1"/>
  <c r="AB137" i="2"/>
  <c r="AC131" i="2" s="1"/>
  <c r="AB145" i="2"/>
  <c r="AB136" i="2"/>
  <c r="AB101" i="2"/>
  <c r="AC97" i="2"/>
  <c r="AC99" i="2"/>
  <c r="AD100" i="2" s="1"/>
  <c r="Z128" i="2"/>
  <c r="AA123" i="2"/>
  <c r="AB126" i="2" s="1"/>
  <c r="AC127" i="2" s="1"/>
  <c r="AD192" i="2" s="1"/>
  <c r="AA122" i="2"/>
  <c r="Y39" i="3"/>
  <c r="AB85" i="2"/>
  <c r="AC79" i="2" s="1"/>
  <c r="AB102" i="2"/>
  <c r="AC96" i="2" s="1"/>
  <c r="AB111" i="2"/>
  <c r="AC82" i="2"/>
  <c r="AD83" i="2" s="1"/>
  <c r="AB84" i="2"/>
  <c r="AC80" i="2"/>
  <c r="AE3" i="2"/>
  <c r="AD162" i="2"/>
  <c r="Z63" i="2"/>
  <c r="AB25" i="2"/>
  <c r="AB22" i="2"/>
  <c r="AB77" i="2"/>
  <c r="AB26" i="2"/>
  <c r="AC180" i="2"/>
  <c r="AC175" i="2"/>
  <c r="AC174" i="2"/>
  <c r="AB21" i="2"/>
  <c r="AB16" i="2"/>
  <c r="AB27" i="2"/>
  <c r="AB94" i="2"/>
  <c r="AB129" i="2"/>
  <c r="AC6" i="2"/>
  <c r="AC181" i="2"/>
  <c r="W7" i="3"/>
  <c r="X32" i="3"/>
  <c r="Z29" i="2"/>
  <c r="Y29" i="2"/>
  <c r="J17" i="1"/>
  <c r="K26" i="1" s="1"/>
  <c r="O12" i="1"/>
  <c r="O18" i="1" s="1"/>
  <c r="W14" i="1"/>
  <c r="W33" i="1" s="1"/>
  <c r="W13" i="1"/>
  <c r="W32" i="1" s="1"/>
  <c r="W11" i="1"/>
  <c r="W30" i="1" s="1"/>
  <c r="AB40" i="2" l="1"/>
  <c r="AQ185" i="2"/>
  <c r="AP8" i="3"/>
  <c r="AP63" i="2"/>
  <c r="AQ64" i="2" s="1"/>
  <c r="AP60" i="2"/>
  <c r="AP65" i="2"/>
  <c r="AD134" i="2"/>
  <c r="AE135" i="2" s="1"/>
  <c r="Z188" i="2"/>
  <c r="Y38" i="3"/>
  <c r="Z75" i="2"/>
  <c r="Z76" i="2"/>
  <c r="Y12" i="3" s="1"/>
  <c r="AA71" i="2"/>
  <c r="AA73" i="2"/>
  <c r="AA70" i="2"/>
  <c r="AA33" i="3"/>
  <c r="AC13" i="3"/>
  <c r="AC54" i="3" s="1"/>
  <c r="AC63" i="3" s="1"/>
  <c r="AC33" i="2"/>
  <c r="AE163" i="2"/>
  <c r="AE159" i="2"/>
  <c r="AE164" i="2"/>
  <c r="T150" i="2"/>
  <c r="T148" i="2" s="1"/>
  <c r="AC46" i="2"/>
  <c r="AC38" i="2" s="1"/>
  <c r="AC32" i="2" s="1"/>
  <c r="AD33" i="2" s="1"/>
  <c r="AC120" i="2"/>
  <c r="AC119" i="2"/>
  <c r="AB11" i="3" s="1"/>
  <c r="AD114" i="2"/>
  <c r="AE117" i="2" s="1"/>
  <c r="AF118" i="2" s="1"/>
  <c r="AD113" i="2"/>
  <c r="AC41" i="3" s="1"/>
  <c r="AC41" i="2"/>
  <c r="R42" i="3"/>
  <c r="R64" i="3" s="1"/>
  <c r="AC104" i="2"/>
  <c r="AC109" i="2" s="1"/>
  <c r="AE158" i="2"/>
  <c r="AC139" i="2"/>
  <c r="AD140" i="2" s="1"/>
  <c r="AA65" i="2"/>
  <c r="AG4" i="2"/>
  <c r="AF157" i="2"/>
  <c r="AC107" i="2"/>
  <c r="AD108" i="2" s="1"/>
  <c r="AC105" i="2"/>
  <c r="AC153" i="2"/>
  <c r="AC56" i="2"/>
  <c r="AA88" i="2"/>
  <c r="Z92" i="2"/>
  <c r="AA90" i="2"/>
  <c r="AB91" i="2" s="1"/>
  <c r="AB44" i="2"/>
  <c r="AC45" i="2" s="1"/>
  <c r="AD189" i="2" s="1"/>
  <c r="AC177" i="2"/>
  <c r="AA87" i="2"/>
  <c r="AA93" i="2" s="1"/>
  <c r="AD132" i="2"/>
  <c r="AC173" i="2"/>
  <c r="AC137" i="2"/>
  <c r="AD131" i="2" s="1"/>
  <c r="AE134" i="2" s="1"/>
  <c r="AF135" i="2" s="1"/>
  <c r="AC145" i="2"/>
  <c r="AC136" i="2"/>
  <c r="AC101" i="2"/>
  <c r="AD97" i="2"/>
  <c r="AD99" i="2"/>
  <c r="AE100" i="2" s="1"/>
  <c r="AC85" i="2"/>
  <c r="AD79" i="2" s="1"/>
  <c r="AC111" i="2"/>
  <c r="AC102" i="2"/>
  <c r="AD96" i="2" s="1"/>
  <c r="AA128" i="2"/>
  <c r="AB123" i="2"/>
  <c r="AC126" i="2" s="1"/>
  <c r="AD127" i="2" s="1"/>
  <c r="AB122" i="2"/>
  <c r="Z39" i="3"/>
  <c r="AD82" i="2"/>
  <c r="AE83" i="2" s="1"/>
  <c r="AC84" i="2"/>
  <c r="AD80" i="2"/>
  <c r="AF3" i="2"/>
  <c r="AE162" i="2"/>
  <c r="AC22" i="2"/>
  <c r="AC25" i="2"/>
  <c r="AD26" i="2" s="1"/>
  <c r="AC26" i="2"/>
  <c r="AC77" i="2"/>
  <c r="AA64" i="2"/>
  <c r="X7" i="3"/>
  <c r="AD174" i="2"/>
  <c r="AD175" i="2"/>
  <c r="AD180" i="2"/>
  <c r="AC16" i="2"/>
  <c r="AC27" i="2"/>
  <c r="AC21" i="2"/>
  <c r="AC94" i="2"/>
  <c r="AC129" i="2"/>
  <c r="AD6" i="2"/>
  <c r="AD181" i="2"/>
  <c r="Y7" i="3"/>
  <c r="Y32" i="3"/>
  <c r="AA29" i="2"/>
  <c r="J28" i="1"/>
  <c r="J5" i="1" s="1"/>
  <c r="X13" i="1"/>
  <c r="X32" i="1" s="1"/>
  <c r="X14" i="1"/>
  <c r="X33" i="1" s="1"/>
  <c r="O31" i="1"/>
  <c r="X11" i="1"/>
  <c r="X30" i="1" s="1"/>
  <c r="AQ8" i="3" l="1"/>
  <c r="AR185" i="2"/>
  <c r="T166" i="2"/>
  <c r="S21" i="3" s="1"/>
  <c r="S55" i="3" s="1"/>
  <c r="AQ63" i="2"/>
  <c r="AR64" i="2" s="1"/>
  <c r="AQ60" i="2"/>
  <c r="AQ65" i="2"/>
  <c r="AA188" i="2"/>
  <c r="Z38" i="3"/>
  <c r="AA76" i="2"/>
  <c r="Z12" i="3" s="1"/>
  <c r="AA75" i="2"/>
  <c r="AB73" i="2"/>
  <c r="AB71" i="2"/>
  <c r="AB70" i="2"/>
  <c r="AE192" i="2"/>
  <c r="AC36" i="2"/>
  <c r="AD37" i="2" s="1"/>
  <c r="AD20" i="3"/>
  <c r="AD53" i="3" s="1"/>
  <c r="AF163" i="2"/>
  <c r="AF159" i="2"/>
  <c r="AF164" i="2"/>
  <c r="AC40" i="2"/>
  <c r="AB33" i="3" s="1"/>
  <c r="AD46" i="2"/>
  <c r="AD38" i="2" s="1"/>
  <c r="AD32" i="2" s="1"/>
  <c r="AE33" i="2" s="1"/>
  <c r="AD120" i="2"/>
  <c r="AD13" i="3"/>
  <c r="AD54" i="3" s="1"/>
  <c r="AD63" i="3" s="1"/>
  <c r="AD119" i="2"/>
  <c r="AC11" i="3" s="1"/>
  <c r="AE114" i="2"/>
  <c r="AF117" i="2" s="1"/>
  <c r="AG118" i="2" s="1"/>
  <c r="AE113" i="2"/>
  <c r="AD41" i="3" s="1"/>
  <c r="AD107" i="2"/>
  <c r="AE108" i="2" s="1"/>
  <c r="AD105" i="2"/>
  <c r="AF158" i="2"/>
  <c r="AD104" i="2"/>
  <c r="AD109" i="2" s="1"/>
  <c r="AD139" i="2"/>
  <c r="AE140" i="2" s="1"/>
  <c r="U150" i="2"/>
  <c r="U166" i="2" s="1"/>
  <c r="T21" i="3" s="1"/>
  <c r="T55" i="3" s="1"/>
  <c r="T152" i="2"/>
  <c r="T171" i="2" s="1"/>
  <c r="S42" i="3"/>
  <c r="S64" i="3" s="1"/>
  <c r="AA63" i="2"/>
  <c r="AB64" i="2" s="1"/>
  <c r="AB65" i="2"/>
  <c r="AH4" i="2"/>
  <c r="AG157" i="2"/>
  <c r="AD153" i="2"/>
  <c r="AD56" i="2"/>
  <c r="AB90" i="2"/>
  <c r="AC91" i="2" s="1"/>
  <c r="AD177" i="2"/>
  <c r="AB87" i="2"/>
  <c r="AB93" i="2" s="1"/>
  <c r="AB88" i="2"/>
  <c r="AA92" i="2"/>
  <c r="AE132" i="2"/>
  <c r="AD173" i="2"/>
  <c r="AD137" i="2"/>
  <c r="AE131" i="2" s="1"/>
  <c r="AF134" i="2" s="1"/>
  <c r="AG135" i="2" s="1"/>
  <c r="AD145" i="2"/>
  <c r="AD136" i="2"/>
  <c r="AD101" i="2"/>
  <c r="AE97" i="2"/>
  <c r="AE99" i="2"/>
  <c r="AF100" i="2" s="1"/>
  <c r="AD85" i="2"/>
  <c r="AE79" i="2" s="1"/>
  <c r="AF80" i="2" s="1"/>
  <c r="AD111" i="2"/>
  <c r="AD102" i="2"/>
  <c r="AE96" i="2" s="1"/>
  <c r="AE82" i="2"/>
  <c r="AF83" i="2" s="1"/>
  <c r="AD84" i="2"/>
  <c r="AE80" i="2"/>
  <c r="AB128" i="2"/>
  <c r="AC123" i="2"/>
  <c r="AD126" i="2" s="1"/>
  <c r="AE127" i="2" s="1"/>
  <c r="AC122" i="2"/>
  <c r="AA39" i="3"/>
  <c r="AG3" i="2"/>
  <c r="AF162" i="2"/>
  <c r="AD22" i="2"/>
  <c r="AD25" i="2"/>
  <c r="AE26" i="2" s="1"/>
  <c r="AD77" i="2"/>
  <c r="Z7" i="3"/>
  <c r="AE180" i="2"/>
  <c r="AE175" i="2"/>
  <c r="AE174" i="2"/>
  <c r="AD16" i="2"/>
  <c r="AD27" i="2"/>
  <c r="AD21" i="2"/>
  <c r="AD94" i="2"/>
  <c r="AD129" i="2"/>
  <c r="AE6" i="2"/>
  <c r="AE181" i="2"/>
  <c r="Z32" i="3"/>
  <c r="K15" i="1"/>
  <c r="K42" i="1" s="1"/>
  <c r="K36" i="1" s="1"/>
  <c r="P12" i="1"/>
  <c r="P18" i="1" s="1"/>
  <c r="Y14" i="1"/>
  <c r="Y33" i="1" s="1"/>
  <c r="Y13" i="1"/>
  <c r="Y32" i="1" s="1"/>
  <c r="Y11" i="1"/>
  <c r="Y30" i="1" s="1"/>
  <c r="AR65" i="2" l="1"/>
  <c r="AR60" i="2"/>
  <c r="AR63" i="2"/>
  <c r="AB188" i="2"/>
  <c r="AC73" i="2"/>
  <c r="AA38" i="3"/>
  <c r="AB75" i="2"/>
  <c r="AC70" i="2"/>
  <c r="AB76" i="2"/>
  <c r="AA12" i="3" s="1"/>
  <c r="AC71" i="2"/>
  <c r="AF192" i="2"/>
  <c r="AD36" i="2"/>
  <c r="AE37" i="2" s="1"/>
  <c r="AE20" i="3"/>
  <c r="AE53" i="3" s="1"/>
  <c r="AE104" i="2"/>
  <c r="AE109" i="2" s="1"/>
  <c r="AG163" i="2"/>
  <c r="AG159" i="2"/>
  <c r="AC44" i="2"/>
  <c r="AD45" i="2" s="1"/>
  <c r="AE189" i="2" s="1"/>
  <c r="AG164" i="2"/>
  <c r="AD41" i="2"/>
  <c r="AD40" i="2"/>
  <c r="AC33" i="3" s="1"/>
  <c r="AE46" i="2"/>
  <c r="AE38" i="2" s="1"/>
  <c r="AE32" i="2" s="1"/>
  <c r="AF33" i="2" s="1"/>
  <c r="AE120" i="2"/>
  <c r="AF113" i="2" s="1"/>
  <c r="AE41" i="3" s="1"/>
  <c r="AF114" i="2"/>
  <c r="AG117" i="2" s="1"/>
  <c r="AH118" i="2" s="1"/>
  <c r="AE119" i="2"/>
  <c r="AD11" i="3" s="1"/>
  <c r="AE139" i="2"/>
  <c r="AF140" i="2" s="1"/>
  <c r="AE105" i="2"/>
  <c r="U148" i="2"/>
  <c r="T42" i="3" s="1"/>
  <c r="T64" i="3" s="1"/>
  <c r="AE107" i="2"/>
  <c r="AF108" i="2" s="1"/>
  <c r="AG158" i="2"/>
  <c r="AB63" i="2"/>
  <c r="AC64" i="2" s="1"/>
  <c r="AC65" i="2"/>
  <c r="AI4" i="2"/>
  <c r="AH157" i="2"/>
  <c r="AE153" i="2"/>
  <c r="AE56" i="2"/>
  <c r="AC87" i="2"/>
  <c r="AC93" i="2" s="1"/>
  <c r="AC90" i="2"/>
  <c r="AD91" i="2" s="1"/>
  <c r="AB92" i="2"/>
  <c r="AC88" i="2"/>
  <c r="AE177" i="2"/>
  <c r="AF132" i="2"/>
  <c r="AE173" i="2"/>
  <c r="AE137" i="2"/>
  <c r="AF131" i="2" s="1"/>
  <c r="AE145" i="2"/>
  <c r="AE136" i="2"/>
  <c r="AE25" i="2"/>
  <c r="AF26" i="2" s="1"/>
  <c r="AE101" i="2"/>
  <c r="AF97" i="2"/>
  <c r="AF99" i="2"/>
  <c r="AG100" i="2" s="1"/>
  <c r="AE85" i="2"/>
  <c r="AF79" i="2" s="1"/>
  <c r="AE102" i="2"/>
  <c r="AF96" i="2" s="1"/>
  <c r="AE111" i="2"/>
  <c r="AC128" i="2"/>
  <c r="AD123" i="2"/>
  <c r="AE126" i="2" s="1"/>
  <c r="AF127" i="2" s="1"/>
  <c r="AD122" i="2"/>
  <c r="AB39" i="3"/>
  <c r="AF82" i="2"/>
  <c r="AG83" i="2" s="1"/>
  <c r="AE84" i="2"/>
  <c r="AH3" i="2"/>
  <c r="AG162" i="2"/>
  <c r="AD65" i="2"/>
  <c r="AC63" i="2"/>
  <c r="AE22" i="2"/>
  <c r="AE77" i="2"/>
  <c r="AF175" i="2"/>
  <c r="AF180" i="2"/>
  <c r="AF174" i="2"/>
  <c r="AE16" i="2"/>
  <c r="AE27" i="2"/>
  <c r="AE21" i="2"/>
  <c r="AE94" i="2"/>
  <c r="AE129" i="2"/>
  <c r="AF6" i="2"/>
  <c r="AF181" i="2"/>
  <c r="AB29" i="2"/>
  <c r="AA32" i="3"/>
  <c r="K17" i="1"/>
  <c r="L26" i="1" s="1"/>
  <c r="Z14" i="1"/>
  <c r="Z33" i="1" s="1"/>
  <c r="P31" i="1"/>
  <c r="Z13" i="1"/>
  <c r="Z32" i="1" s="1"/>
  <c r="Z11" i="1"/>
  <c r="Z30" i="1" s="1"/>
  <c r="AC188" i="2" l="1"/>
  <c r="AG134" i="2"/>
  <c r="AH135" i="2" s="1"/>
  <c r="AE41" i="2"/>
  <c r="AF20" i="3"/>
  <c r="AF53" i="3" s="1"/>
  <c r="AD73" i="2"/>
  <c r="AB38" i="3"/>
  <c r="AC76" i="2"/>
  <c r="AB12" i="3" s="1"/>
  <c r="AC75" i="2"/>
  <c r="AD71" i="2"/>
  <c r="AD70" i="2"/>
  <c r="AG192" i="2"/>
  <c r="AF107" i="2"/>
  <c r="AG108" i="2" s="1"/>
  <c r="AF105" i="2"/>
  <c r="AD44" i="2"/>
  <c r="AE45" i="2" s="1"/>
  <c r="AF189" i="2" s="1"/>
  <c r="AE36" i="2"/>
  <c r="AF37" i="2" s="1"/>
  <c r="AF104" i="2"/>
  <c r="AF109" i="2" s="1"/>
  <c r="AF139" i="2"/>
  <c r="AG140" i="2" s="1"/>
  <c r="AH163" i="2"/>
  <c r="AH159" i="2"/>
  <c r="AE40" i="2"/>
  <c r="AD33" i="3" s="1"/>
  <c r="AF46" i="2"/>
  <c r="AF38" i="2" s="1"/>
  <c r="AF32" i="2" s="1"/>
  <c r="AG33" i="2" s="1"/>
  <c r="AF120" i="2"/>
  <c r="AG114" i="2"/>
  <c r="AH117" i="2" s="1"/>
  <c r="AI118" i="2" s="1"/>
  <c r="AG113" i="2"/>
  <c r="AF41" i="3" s="1"/>
  <c r="AF119" i="2"/>
  <c r="AE11" i="3" s="1"/>
  <c r="U152" i="2"/>
  <c r="U171" i="2" s="1"/>
  <c r="V150" i="2"/>
  <c r="V166" i="2" s="1"/>
  <c r="U21" i="3" s="1"/>
  <c r="U55" i="3" s="1"/>
  <c r="AD90" i="2"/>
  <c r="AE91" i="2" s="1"/>
  <c r="AD88" i="2"/>
  <c r="AH158" i="2"/>
  <c r="AC92" i="2"/>
  <c r="AD87" i="2"/>
  <c r="AD93" i="2" s="1"/>
  <c r="AF161" i="2"/>
  <c r="AE13" i="3" s="1"/>
  <c r="AE54" i="3" s="1"/>
  <c r="AE63" i="3" s="1"/>
  <c r="AJ4" i="2"/>
  <c r="AI157" i="2"/>
  <c r="AF153" i="2"/>
  <c r="AF56" i="2"/>
  <c r="AF177" i="2"/>
  <c r="AG132" i="2"/>
  <c r="AF173" i="2"/>
  <c r="AF137" i="2"/>
  <c r="AG131" i="2" s="1"/>
  <c r="AH133" i="2" s="1"/>
  <c r="AH164" i="2" s="1"/>
  <c r="AF145" i="2"/>
  <c r="AF136" i="2"/>
  <c r="AF25" i="2"/>
  <c r="AG26" i="2" s="1"/>
  <c r="AF101" i="2"/>
  <c r="AG97" i="2"/>
  <c r="AG99" i="2"/>
  <c r="AH100" i="2" s="1"/>
  <c r="AG82" i="2"/>
  <c r="AH83" i="2" s="1"/>
  <c r="AF84" i="2"/>
  <c r="AF85" i="2"/>
  <c r="AG79" i="2" s="1"/>
  <c r="AF111" i="2"/>
  <c r="AF102" i="2"/>
  <c r="AG96" i="2" s="1"/>
  <c r="AD128" i="2"/>
  <c r="AE123" i="2"/>
  <c r="AF126" i="2" s="1"/>
  <c r="AG127" i="2" s="1"/>
  <c r="AE122" i="2"/>
  <c r="AC39" i="3"/>
  <c r="AG80" i="2"/>
  <c r="AI3" i="2"/>
  <c r="AI164" i="2" s="1"/>
  <c r="AH162" i="2"/>
  <c r="AE65" i="2"/>
  <c r="AD63" i="2"/>
  <c r="AF22" i="2"/>
  <c r="AF77" i="2"/>
  <c r="AD64" i="2"/>
  <c r="AD188" i="2" s="1"/>
  <c r="AA7" i="3"/>
  <c r="AG180" i="2"/>
  <c r="AG175" i="2"/>
  <c r="AG174" i="2"/>
  <c r="AF16" i="2"/>
  <c r="AF27" i="2"/>
  <c r="AF21" i="2"/>
  <c r="AF94" i="2"/>
  <c r="AF129" i="2"/>
  <c r="AG6" i="2"/>
  <c r="AG181" i="2"/>
  <c r="AB32" i="3"/>
  <c r="AC29" i="2"/>
  <c r="K28" i="1"/>
  <c r="L15" i="1" s="1"/>
  <c r="L17" i="1" s="1"/>
  <c r="M26" i="1" s="1"/>
  <c r="Q12" i="1"/>
  <c r="Q18" i="1" s="1"/>
  <c r="AA13" i="1"/>
  <c r="AA32" i="1" s="1"/>
  <c r="AA14" i="1"/>
  <c r="AA33" i="1" s="1"/>
  <c r="AA11" i="1"/>
  <c r="AA30" i="1" s="1"/>
  <c r="AD75" i="2" l="1"/>
  <c r="AC38" i="3"/>
  <c r="AD76" i="2"/>
  <c r="AC12" i="3" s="1"/>
  <c r="AE73" i="2"/>
  <c r="AE71" i="2"/>
  <c r="AE70" i="2"/>
  <c r="AH192" i="2"/>
  <c r="AG139" i="2"/>
  <c r="AE90" i="2"/>
  <c r="AF91" i="2" s="1"/>
  <c r="AE88" i="2"/>
  <c r="AE87" i="2"/>
  <c r="AE93" i="2" s="1"/>
  <c r="AG25" i="2"/>
  <c r="AG161" i="2"/>
  <c r="AF13" i="3" s="1"/>
  <c r="AF54" i="3" s="1"/>
  <c r="AF63" i="3" s="1"/>
  <c r="AH132" i="2"/>
  <c r="AF41" i="2"/>
  <c r="AF36" i="2"/>
  <c r="AG37" i="2" s="1"/>
  <c r="AG107" i="2"/>
  <c r="AH108" i="2" s="1"/>
  <c r="AG105" i="2"/>
  <c r="AG20" i="3"/>
  <c r="AG53" i="3" s="1"/>
  <c r="AG104" i="2"/>
  <c r="AH107" i="2" s="1"/>
  <c r="AI108" i="2" s="1"/>
  <c r="V148" i="2"/>
  <c r="V152" i="2" s="1"/>
  <c r="V171" i="2" s="1"/>
  <c r="AF40" i="2"/>
  <c r="AF44" i="2" s="1"/>
  <c r="AG45" i="2" s="1"/>
  <c r="AI163" i="2"/>
  <c r="AI159" i="2"/>
  <c r="AE44" i="2"/>
  <c r="AF45" i="2" s="1"/>
  <c r="AG189" i="2" s="1"/>
  <c r="AG46" i="2"/>
  <c r="AG38" i="2" s="1"/>
  <c r="AG32" i="2" s="1"/>
  <c r="AH33" i="2" s="1"/>
  <c r="AG120" i="2"/>
  <c r="AH113" i="2" s="1"/>
  <c r="AG41" i="3" s="1"/>
  <c r="AH114" i="2"/>
  <c r="AI117" i="2" s="1"/>
  <c r="AJ118" i="2" s="1"/>
  <c r="AG119" i="2"/>
  <c r="AF11" i="3" s="1"/>
  <c r="AI158" i="2"/>
  <c r="AD92" i="2"/>
  <c r="AJ157" i="2"/>
  <c r="AK4" i="2"/>
  <c r="AL4" i="2" s="1"/>
  <c r="AG153" i="2"/>
  <c r="AG56" i="2"/>
  <c r="AG177" i="2"/>
  <c r="AH134" i="2"/>
  <c r="AI135" i="2" s="1"/>
  <c r="AG173" i="2"/>
  <c r="AH140" i="2"/>
  <c r="AG137" i="2"/>
  <c r="AH131" i="2" s="1"/>
  <c r="AG145" i="2"/>
  <c r="AH139" i="2" s="1"/>
  <c r="AG136" i="2"/>
  <c r="AG101" i="2"/>
  <c r="AH97" i="2"/>
  <c r="AH99" i="2"/>
  <c r="AI100" i="2" s="1"/>
  <c r="AG109" i="2"/>
  <c r="AE128" i="2"/>
  <c r="AF123" i="2"/>
  <c r="AG126" i="2" s="1"/>
  <c r="AH127" i="2" s="1"/>
  <c r="AF122" i="2"/>
  <c r="AD39" i="3"/>
  <c r="AG85" i="2"/>
  <c r="AH79" i="2" s="1"/>
  <c r="AG111" i="2"/>
  <c r="AG102" i="2"/>
  <c r="AH96" i="2" s="1"/>
  <c r="AH82" i="2"/>
  <c r="AI83" i="2" s="1"/>
  <c r="AG84" i="2"/>
  <c r="AH80" i="2"/>
  <c r="AJ3" i="2"/>
  <c r="AI162" i="2"/>
  <c r="AF65" i="2"/>
  <c r="AE63" i="2"/>
  <c r="AG77" i="2"/>
  <c r="AE64" i="2"/>
  <c r="AE188" i="2" s="1"/>
  <c r="AH174" i="2"/>
  <c r="AH175" i="2"/>
  <c r="AH180" i="2"/>
  <c r="AG16" i="2"/>
  <c r="AG27" i="2"/>
  <c r="AG94" i="2"/>
  <c r="AG129" i="2"/>
  <c r="AH6" i="2"/>
  <c r="AH181" i="2"/>
  <c r="AC32" i="3"/>
  <c r="AB7" i="3"/>
  <c r="AD29" i="2"/>
  <c r="K5" i="1"/>
  <c r="L28" i="1"/>
  <c r="AB14" i="1"/>
  <c r="AB33" i="1" s="1"/>
  <c r="AB13" i="1"/>
  <c r="AB32" i="1" s="1"/>
  <c r="Q31" i="1"/>
  <c r="AB11" i="1"/>
  <c r="AB30" i="1" s="1"/>
  <c r="AM4" i="2" l="1"/>
  <c r="AL157" i="2"/>
  <c r="AG22" i="2"/>
  <c r="AF71" i="2"/>
  <c r="AD38" i="3"/>
  <c r="AE76" i="2"/>
  <c r="AD12" i="3" s="1"/>
  <c r="AE75" i="2"/>
  <c r="AF73" i="2"/>
  <c r="AF70" i="2"/>
  <c r="AH105" i="2"/>
  <c r="AI192" i="2"/>
  <c r="AE92" i="2"/>
  <c r="AF88" i="2"/>
  <c r="AF87" i="2"/>
  <c r="AF93" i="2" s="1"/>
  <c r="AF90" i="2"/>
  <c r="AG91" i="2" s="1"/>
  <c r="AI134" i="2"/>
  <c r="AJ135" i="2" s="1"/>
  <c r="AH189" i="2"/>
  <c r="AE33" i="3"/>
  <c r="U42" i="3"/>
  <c r="U64" i="3" s="1"/>
  <c r="AG41" i="2"/>
  <c r="W150" i="2"/>
  <c r="W166" i="2" s="1"/>
  <c r="V21" i="3" s="1"/>
  <c r="V55" i="3" s="1"/>
  <c r="AH104" i="2"/>
  <c r="AI107" i="2" s="1"/>
  <c r="AJ108" i="2" s="1"/>
  <c r="AG36" i="2"/>
  <c r="AH37" i="2" s="1"/>
  <c r="AH20" i="3"/>
  <c r="AH53" i="3" s="1"/>
  <c r="AG40" i="2"/>
  <c r="AG44" i="2" s="1"/>
  <c r="AH45" i="2" s="1"/>
  <c r="AJ163" i="2"/>
  <c r="AJ159" i="2"/>
  <c r="AJ164" i="2"/>
  <c r="AH46" i="2"/>
  <c r="AH38" i="2" s="1"/>
  <c r="AH32" i="2" s="1"/>
  <c r="AI33" i="2" s="1"/>
  <c r="AH120" i="2"/>
  <c r="AI113" i="2" s="1"/>
  <c r="AH41" i="3" s="1"/>
  <c r="AI114" i="2"/>
  <c r="AJ117" i="2" s="1"/>
  <c r="AK118" i="2" s="1"/>
  <c r="AH119" i="2"/>
  <c r="AG11" i="3" s="1"/>
  <c r="AJ158" i="2"/>
  <c r="AG21" i="2"/>
  <c r="AK157" i="2"/>
  <c r="AH153" i="2"/>
  <c r="AH56" i="2"/>
  <c r="AH177" i="2"/>
  <c r="AI132" i="2"/>
  <c r="AH173" i="2"/>
  <c r="AI140" i="2"/>
  <c r="AH137" i="2"/>
  <c r="AI131" i="2" s="1"/>
  <c r="AH145" i="2"/>
  <c r="AI139" i="2" s="1"/>
  <c r="AH136" i="2"/>
  <c r="AI99" i="2"/>
  <c r="AJ100" i="2" s="1"/>
  <c r="AH101" i="2"/>
  <c r="AI97" i="2"/>
  <c r="AH85" i="2"/>
  <c r="AI79" i="2" s="1"/>
  <c r="AH111" i="2"/>
  <c r="AH102" i="2"/>
  <c r="AI96" i="2" s="1"/>
  <c r="AF128" i="2"/>
  <c r="AG123" i="2"/>
  <c r="AH126" i="2" s="1"/>
  <c r="AI127" i="2" s="1"/>
  <c r="AJ192" i="2" s="1"/>
  <c r="AG122" i="2"/>
  <c r="AE39" i="3"/>
  <c r="AI82" i="2"/>
  <c r="AJ83" i="2" s="1"/>
  <c r="AH84" i="2"/>
  <c r="AI80" i="2"/>
  <c r="AK3" i="2"/>
  <c r="AL3" i="2" s="1"/>
  <c r="AJ162" i="2"/>
  <c r="AG65" i="2"/>
  <c r="AF63" i="2"/>
  <c r="AH77" i="2"/>
  <c r="AF64" i="2"/>
  <c r="AF188" i="2" s="1"/>
  <c r="AC7" i="3"/>
  <c r="AI180" i="2"/>
  <c r="AI174" i="2"/>
  <c r="AI175" i="2"/>
  <c r="AH16" i="2"/>
  <c r="AH27" i="2"/>
  <c r="AH129" i="2"/>
  <c r="AH94" i="2"/>
  <c r="AI6" i="2"/>
  <c r="AI181" i="2"/>
  <c r="AE29" i="2"/>
  <c r="AD32" i="3"/>
  <c r="AF29" i="2"/>
  <c r="L5" i="1"/>
  <c r="M15" i="1"/>
  <c r="R12" i="1"/>
  <c r="R18" i="1" s="1"/>
  <c r="AC13" i="1"/>
  <c r="AC32" i="1" s="1"/>
  <c r="AC14" i="1"/>
  <c r="AC33" i="1" s="1"/>
  <c r="AC11" i="1"/>
  <c r="AC30" i="1" s="1"/>
  <c r="W148" i="2" l="1"/>
  <c r="X150" i="2" s="1"/>
  <c r="AL162" i="2"/>
  <c r="AL163" i="2"/>
  <c r="AL158" i="2"/>
  <c r="AL159" i="2"/>
  <c r="AM3" i="2"/>
  <c r="AK36" i="3"/>
  <c r="AK9" i="3"/>
  <c r="AL164" i="2"/>
  <c r="AN4" i="2"/>
  <c r="AM157" i="2"/>
  <c r="AJ134" i="2"/>
  <c r="AK135" i="2" s="1"/>
  <c r="AG90" i="2"/>
  <c r="AH91" i="2" s="1"/>
  <c r="AG88" i="2"/>
  <c r="AF92" i="2"/>
  <c r="AF76" i="2"/>
  <c r="AE12" i="3" s="1"/>
  <c r="AE38" i="3"/>
  <c r="AG71" i="2"/>
  <c r="AG73" i="2"/>
  <c r="AF75" i="2"/>
  <c r="AG70" i="2"/>
  <c r="AI105" i="2"/>
  <c r="AH109" i="2"/>
  <c r="AI104" i="2"/>
  <c r="AI109" i="2" s="1"/>
  <c r="AG87" i="2"/>
  <c r="AG93" i="2" s="1"/>
  <c r="AF33" i="3"/>
  <c r="AI189" i="2"/>
  <c r="AH41" i="2"/>
  <c r="AI20" i="3"/>
  <c r="AI53" i="3" s="1"/>
  <c r="AH40" i="2"/>
  <c r="AG33" i="3" s="1"/>
  <c r="AH36" i="2"/>
  <c r="AI37" i="2" s="1"/>
  <c r="AK163" i="2"/>
  <c r="AK159" i="2"/>
  <c r="AK164" i="2"/>
  <c r="AI46" i="2"/>
  <c r="AI38" i="2" s="1"/>
  <c r="AI32" i="2" s="1"/>
  <c r="AJ33" i="2" s="1"/>
  <c r="AI120" i="2"/>
  <c r="AJ114" i="2"/>
  <c r="AK117" i="2" s="1"/>
  <c r="AL118" i="2" s="1"/>
  <c r="AJ113" i="2"/>
  <c r="AI41" i="3" s="1"/>
  <c r="AI119" i="2"/>
  <c r="AH11" i="3" s="1"/>
  <c r="AK158" i="2"/>
  <c r="AI153" i="2"/>
  <c r="AI56" i="2"/>
  <c r="AI177" i="2"/>
  <c r="AJ132" i="2"/>
  <c r="AI173" i="2"/>
  <c r="AJ140" i="2"/>
  <c r="AI137" i="2"/>
  <c r="AJ131" i="2" s="1"/>
  <c r="AI145" i="2"/>
  <c r="AJ139" i="2" s="1"/>
  <c r="AI136" i="2"/>
  <c r="AI101" i="2"/>
  <c r="AJ97" i="2"/>
  <c r="AJ99" i="2"/>
  <c r="AK100" i="2" s="1"/>
  <c r="AI85" i="2"/>
  <c r="AJ79" i="2" s="1"/>
  <c r="AI102" i="2"/>
  <c r="AJ96" i="2" s="1"/>
  <c r="AI111" i="2"/>
  <c r="AG128" i="2"/>
  <c r="AH123" i="2"/>
  <c r="AI126" i="2" s="1"/>
  <c r="AJ127" i="2" s="1"/>
  <c r="AK192" i="2" s="1"/>
  <c r="AH122" i="2"/>
  <c r="AF39" i="3"/>
  <c r="AJ82" i="2"/>
  <c r="AK83" i="2" s="1"/>
  <c r="AI84" i="2"/>
  <c r="AJ80" i="2"/>
  <c r="AK162" i="2"/>
  <c r="AH65" i="2"/>
  <c r="AG63" i="2"/>
  <c r="AH21" i="2"/>
  <c r="AH25" i="2"/>
  <c r="AH22" i="2"/>
  <c r="AI77" i="2"/>
  <c r="AG64" i="2"/>
  <c r="AG188" i="2" s="1"/>
  <c r="AH26" i="2"/>
  <c r="AE7" i="3"/>
  <c r="AD7" i="3"/>
  <c r="AJ175" i="2"/>
  <c r="AJ174" i="2"/>
  <c r="AJ180" i="2"/>
  <c r="AI16" i="2"/>
  <c r="AI27" i="2"/>
  <c r="AI94" i="2"/>
  <c r="AI129" i="2"/>
  <c r="AJ6" i="2"/>
  <c r="AJ181" i="2"/>
  <c r="AE32" i="3"/>
  <c r="M17" i="1"/>
  <c r="N26" i="1" s="1"/>
  <c r="AD14" i="1"/>
  <c r="AD33" i="1" s="1"/>
  <c r="AD13" i="1"/>
  <c r="AD32" i="1" s="1"/>
  <c r="R31" i="1"/>
  <c r="AD11" i="1"/>
  <c r="AD30" i="1" s="1"/>
  <c r="AK20" i="3" l="1"/>
  <c r="AK53" i="3" s="1"/>
  <c r="AN3" i="2"/>
  <c r="AM162" i="2"/>
  <c r="AM163" i="2"/>
  <c r="AM158" i="2"/>
  <c r="AM159" i="2"/>
  <c r="AL9" i="3"/>
  <c r="AM188" i="2"/>
  <c r="AL36" i="3"/>
  <c r="W152" i="2"/>
  <c r="W171" i="2" s="1"/>
  <c r="AM164" i="2"/>
  <c r="V42" i="3"/>
  <c r="V64" i="3" s="1"/>
  <c r="AH44" i="2"/>
  <c r="AI45" i="2" s="1"/>
  <c r="AJ189" i="2" s="1"/>
  <c r="AO4" i="2"/>
  <c r="AN157" i="2"/>
  <c r="AJ107" i="2"/>
  <c r="AK108" i="2" s="1"/>
  <c r="AJ104" i="2"/>
  <c r="AJ109" i="2" s="1"/>
  <c r="AJ20" i="3"/>
  <c r="AJ53" i="3" s="1"/>
  <c r="AG76" i="2"/>
  <c r="AF12" i="3" s="1"/>
  <c r="AF38" i="3"/>
  <c r="AG75" i="2"/>
  <c r="AH73" i="2"/>
  <c r="AH70" i="2"/>
  <c r="AH71" i="2"/>
  <c r="AJ105" i="2"/>
  <c r="AH90" i="2"/>
  <c r="AI91" i="2" s="1"/>
  <c r="AH88" i="2"/>
  <c r="AH87" i="2"/>
  <c r="AH93" i="2" s="1"/>
  <c r="AG92" i="2"/>
  <c r="AI40" i="2"/>
  <c r="AI44" i="2" s="1"/>
  <c r="AI41" i="2"/>
  <c r="AK134" i="2"/>
  <c r="AL135" i="2" s="1"/>
  <c r="AI36" i="2"/>
  <c r="AJ37" i="2" s="1"/>
  <c r="AJ46" i="2"/>
  <c r="AJ38" i="2" s="1"/>
  <c r="AJ32" i="2" s="1"/>
  <c r="AK33" i="2" s="1"/>
  <c r="AJ120" i="2"/>
  <c r="AK113" i="2" s="1"/>
  <c r="AH33" i="3"/>
  <c r="AJ41" i="2"/>
  <c r="AK114" i="2"/>
  <c r="AL117" i="2" s="1"/>
  <c r="AM118" i="2" s="1"/>
  <c r="AJ119" i="2"/>
  <c r="AI11" i="3" s="1"/>
  <c r="X166" i="2"/>
  <c r="W21" i="3" s="1"/>
  <c r="W55" i="3" s="1"/>
  <c r="X148" i="2"/>
  <c r="AI21" i="2"/>
  <c r="AH161" i="2"/>
  <c r="AG13" i="3" s="1"/>
  <c r="AG54" i="3" s="1"/>
  <c r="AG63" i="3" s="1"/>
  <c r="AJ153" i="2"/>
  <c r="AJ56" i="2"/>
  <c r="AJ177" i="2"/>
  <c r="AK132" i="2"/>
  <c r="AJ173" i="2"/>
  <c r="AK140" i="2"/>
  <c r="AJ137" i="2"/>
  <c r="AK131" i="2" s="1"/>
  <c r="AJ145" i="2"/>
  <c r="AK139" i="2" s="1"/>
  <c r="AJ136" i="2"/>
  <c r="AK107" i="2"/>
  <c r="AL108" i="2" s="1"/>
  <c r="AK97" i="2"/>
  <c r="AJ101" i="2"/>
  <c r="AK99" i="2"/>
  <c r="AL100" i="2" s="1"/>
  <c r="AJ85" i="2"/>
  <c r="AK79" i="2" s="1"/>
  <c r="AJ102" i="2"/>
  <c r="AK96" i="2" s="1"/>
  <c r="AJ111" i="2"/>
  <c r="AK104" i="2" s="1"/>
  <c r="AH128" i="2"/>
  <c r="AI123" i="2"/>
  <c r="AJ126" i="2" s="1"/>
  <c r="AK127" i="2" s="1"/>
  <c r="AL192" i="2" s="1"/>
  <c r="AI122" i="2"/>
  <c r="AG39" i="3"/>
  <c r="AK82" i="2"/>
  <c r="AL83" i="2" s="1"/>
  <c r="AJ84" i="2"/>
  <c r="AK80" i="2"/>
  <c r="AI65" i="2"/>
  <c r="AH63" i="2"/>
  <c r="AI22" i="2"/>
  <c r="AJ77" i="2"/>
  <c r="AH64" i="2"/>
  <c r="AH188" i="2" s="1"/>
  <c r="AI26" i="2"/>
  <c r="AJ45" i="2"/>
  <c r="AK180" i="2"/>
  <c r="AK175" i="2"/>
  <c r="AK174" i="2"/>
  <c r="AJ16" i="2"/>
  <c r="AJ27" i="2"/>
  <c r="AJ94" i="2"/>
  <c r="AJ129" i="2"/>
  <c r="AK6" i="2"/>
  <c r="AL6" i="2" s="1"/>
  <c r="AK181" i="2"/>
  <c r="AG29" i="2"/>
  <c r="AF32" i="3"/>
  <c r="M28" i="1"/>
  <c r="N15" i="1" s="1"/>
  <c r="N17" i="1" s="1"/>
  <c r="O26" i="1" s="1"/>
  <c r="S12" i="1"/>
  <c r="S18" i="1" s="1"/>
  <c r="AE13" i="1"/>
  <c r="AE32" i="1" s="1"/>
  <c r="AE14" i="1"/>
  <c r="AE33" i="1" s="1"/>
  <c r="AE11" i="1"/>
  <c r="AE30" i="1" s="1"/>
  <c r="AL20" i="3" l="1"/>
  <c r="AL53" i="3" s="1"/>
  <c r="AJ40" i="2"/>
  <c r="AK41" i="2" s="1"/>
  <c r="AL174" i="2"/>
  <c r="AM174" i="2" s="1"/>
  <c r="AL175" i="2"/>
  <c r="AM175" i="2" s="1"/>
  <c r="AK105" i="2"/>
  <c r="AL137" i="2"/>
  <c r="AL120" i="2"/>
  <c r="AL94" i="2"/>
  <c r="AL27" i="2"/>
  <c r="AL77" i="2"/>
  <c r="AL56" i="2"/>
  <c r="AL111" i="2"/>
  <c r="AL145" i="2"/>
  <c r="AL16" i="2"/>
  <c r="AM6" i="2"/>
  <c r="AL46" i="2"/>
  <c r="AL38" i="2" s="1"/>
  <c r="AL129" i="2"/>
  <c r="AL102" i="2"/>
  <c r="AL153" i="2"/>
  <c r="AL85" i="2"/>
  <c r="AM181" i="2"/>
  <c r="AL180" i="2"/>
  <c r="AM180" i="2" s="1"/>
  <c r="AI90" i="2"/>
  <c r="AJ91" i="2" s="1"/>
  <c r="AN159" i="2"/>
  <c r="AN163" i="2"/>
  <c r="AN162" i="2"/>
  <c r="AN158" i="2"/>
  <c r="AM20" i="3" s="1"/>
  <c r="AM53" i="3" s="1"/>
  <c r="AO3" i="2"/>
  <c r="AO164" i="2" s="1"/>
  <c r="AN188" i="2"/>
  <c r="AM9" i="3"/>
  <c r="AM36" i="3"/>
  <c r="AP4" i="2"/>
  <c r="AO157" i="2"/>
  <c r="AL134" i="2"/>
  <c r="AM135" i="2" s="1"/>
  <c r="AL132" i="2"/>
  <c r="AL142" i="2"/>
  <c r="AM143" i="2" s="1"/>
  <c r="AN193" i="2" s="1"/>
  <c r="AL140" i="2"/>
  <c r="AL99" i="2"/>
  <c r="AM100" i="2" s="1"/>
  <c r="AL97" i="2"/>
  <c r="AK84" i="2"/>
  <c r="AL80" i="2"/>
  <c r="AL82" i="2"/>
  <c r="AM83" i="2" s="1"/>
  <c r="AK109" i="2"/>
  <c r="AL105" i="2"/>
  <c r="AL107" i="2"/>
  <c r="AM108" i="2" s="1"/>
  <c r="AJ41" i="3"/>
  <c r="AL114" i="2"/>
  <c r="AM117" i="2" s="1"/>
  <c r="AN118" i="2" s="1"/>
  <c r="AL113" i="2"/>
  <c r="AK189" i="2"/>
  <c r="AI87" i="2"/>
  <c r="AI93" i="2" s="1"/>
  <c r="AH75" i="2"/>
  <c r="AG38" i="3"/>
  <c r="AI73" i="2"/>
  <c r="AI70" i="2"/>
  <c r="AH76" i="2"/>
  <c r="AG12" i="3" s="1"/>
  <c r="AI71" i="2"/>
  <c r="AI88" i="2"/>
  <c r="AH92" i="2"/>
  <c r="AJ36" i="2"/>
  <c r="AK37" i="2" s="1"/>
  <c r="AL189" i="2" s="1"/>
  <c r="AK119" i="2"/>
  <c r="AJ11" i="3" s="1"/>
  <c r="AK46" i="2"/>
  <c r="AK38" i="2" s="1"/>
  <c r="AK32" i="2" s="1"/>
  <c r="AK120" i="2"/>
  <c r="AI33" i="3"/>
  <c r="AJ44" i="2"/>
  <c r="AK45" i="2" s="1"/>
  <c r="Y150" i="2"/>
  <c r="W42" i="3"/>
  <c r="W64" i="3" s="1"/>
  <c r="X152" i="2"/>
  <c r="X171" i="2" s="1"/>
  <c r="AI25" i="2"/>
  <c r="AJ26" i="2" s="1"/>
  <c r="AI161" i="2"/>
  <c r="AH13" i="3" s="1"/>
  <c r="AH54" i="3" s="1"/>
  <c r="AH63" i="3" s="1"/>
  <c r="AK153" i="2"/>
  <c r="AK56" i="2"/>
  <c r="AK177" i="2"/>
  <c r="AL177" i="2" s="1"/>
  <c r="AK173" i="2"/>
  <c r="AL173" i="2" s="1"/>
  <c r="AK137" i="2"/>
  <c r="AL131" i="2" s="1"/>
  <c r="AK145" i="2"/>
  <c r="AL139" i="2" s="1"/>
  <c r="AK136" i="2"/>
  <c r="AK101" i="2"/>
  <c r="AK85" i="2"/>
  <c r="AL79" i="2" s="1"/>
  <c r="AK102" i="2"/>
  <c r="AL96" i="2" s="1"/>
  <c r="AK111" i="2"/>
  <c r="AL104" i="2" s="1"/>
  <c r="AI128" i="2"/>
  <c r="AJ123" i="2"/>
  <c r="AK126" i="2" s="1"/>
  <c r="AL127" i="2" s="1"/>
  <c r="AM192" i="2" s="1"/>
  <c r="AJ122" i="2"/>
  <c r="AH39" i="3"/>
  <c r="AJ65" i="2"/>
  <c r="AI63" i="2"/>
  <c r="AJ21" i="2"/>
  <c r="AJ25" i="2"/>
  <c r="AJ22" i="2"/>
  <c r="AK77" i="2"/>
  <c r="AI64" i="2"/>
  <c r="AI188" i="2" s="1"/>
  <c r="AF7" i="3"/>
  <c r="AK16" i="2"/>
  <c r="AK27" i="2"/>
  <c r="AK94" i="2"/>
  <c r="AK129" i="2"/>
  <c r="AG32" i="3"/>
  <c r="AH29" i="2"/>
  <c r="M5" i="1"/>
  <c r="N28" i="1"/>
  <c r="O15" i="1" s="1"/>
  <c r="AF14" i="1"/>
  <c r="AF33" i="1" s="1"/>
  <c r="AF13" i="1"/>
  <c r="AF32" i="1" s="1"/>
  <c r="S31" i="1"/>
  <c r="AF11" i="1"/>
  <c r="AF30" i="1" s="1"/>
  <c r="AN175" i="2" l="1"/>
  <c r="AN180" i="2"/>
  <c r="AM173" i="2"/>
  <c r="AK40" i="2"/>
  <c r="AK44" i="2" s="1"/>
  <c r="AL45" i="2" s="1"/>
  <c r="AN174" i="2"/>
  <c r="AO174" i="2" s="1"/>
  <c r="AN178" i="2"/>
  <c r="AM111" i="2"/>
  <c r="AM46" i="2"/>
  <c r="AM38" i="2" s="1"/>
  <c r="AM94" i="2"/>
  <c r="AM145" i="2"/>
  <c r="AM85" i="2"/>
  <c r="AN6" i="2"/>
  <c r="AM102" i="2"/>
  <c r="AM77" i="2"/>
  <c r="AM153" i="2"/>
  <c r="AM137" i="2"/>
  <c r="AM56" i="2"/>
  <c r="AM120" i="2"/>
  <c r="AM16" i="2"/>
  <c r="AM27" i="2"/>
  <c r="AM129" i="2"/>
  <c r="AN181" i="2"/>
  <c r="AP3" i="2"/>
  <c r="AP164" i="2" s="1"/>
  <c r="AO162" i="2"/>
  <c r="AO158" i="2"/>
  <c r="AO159" i="2"/>
  <c r="AN20" i="3" s="1"/>
  <c r="AN53" i="3" s="1"/>
  <c r="AO163" i="2"/>
  <c r="AN9" i="3"/>
  <c r="AO188" i="2"/>
  <c r="AN36" i="3"/>
  <c r="AP157" i="2"/>
  <c r="AQ4" i="2"/>
  <c r="AM80" i="2"/>
  <c r="AM82" i="2"/>
  <c r="AN83" i="2" s="1"/>
  <c r="AL84" i="2"/>
  <c r="AM79" i="2"/>
  <c r="AL101" i="2"/>
  <c r="AM97" i="2"/>
  <c r="AM96" i="2"/>
  <c r="AM99" i="2"/>
  <c r="AN100" i="2" s="1"/>
  <c r="AL144" i="2"/>
  <c r="AM139" i="2"/>
  <c r="AM142" i="2"/>
  <c r="AN143" i="2" s="1"/>
  <c r="AO193" i="2" s="1"/>
  <c r="AM140" i="2"/>
  <c r="AL136" i="2"/>
  <c r="AM134" i="2"/>
  <c r="AN135" i="2" s="1"/>
  <c r="AM132" i="2"/>
  <c r="AM131" i="2"/>
  <c r="AK40" i="3"/>
  <c r="AM107" i="2"/>
  <c r="AN108" i="2" s="1"/>
  <c r="AM105" i="2"/>
  <c r="AM104" i="2"/>
  <c r="AL109" i="2"/>
  <c r="AL41" i="2"/>
  <c r="AK36" i="2"/>
  <c r="AL37" i="2" s="1"/>
  <c r="AL33" i="2"/>
  <c r="AL32" i="2"/>
  <c r="AM114" i="2"/>
  <c r="AN117" i="2" s="1"/>
  <c r="AO118" i="2" s="1"/>
  <c r="AL119" i="2"/>
  <c r="AK11" i="3" s="1"/>
  <c r="AK41" i="3"/>
  <c r="AM113" i="2"/>
  <c r="AJ87" i="2"/>
  <c r="AJ93" i="2" s="1"/>
  <c r="AI92" i="2"/>
  <c r="AJ90" i="2"/>
  <c r="AK91" i="2" s="1"/>
  <c r="AJ88" i="2"/>
  <c r="AI76" i="2"/>
  <c r="AH12" i="3" s="1"/>
  <c r="AH38" i="3"/>
  <c r="AJ73" i="2"/>
  <c r="AI75" i="2"/>
  <c r="AJ70" i="2"/>
  <c r="AJ71" i="2"/>
  <c r="AJ33" i="3"/>
  <c r="Y166" i="2"/>
  <c r="X21" i="3" s="1"/>
  <c r="X55" i="3" s="1"/>
  <c r="Y148" i="2"/>
  <c r="AJ161" i="2"/>
  <c r="AI13" i="3" s="1"/>
  <c r="AI54" i="3" s="1"/>
  <c r="AI63" i="3" s="1"/>
  <c r="AJ128" i="2"/>
  <c r="AK123" i="2"/>
  <c r="AL126" i="2" s="1"/>
  <c r="AM127" i="2" s="1"/>
  <c r="AN192" i="2" s="1"/>
  <c r="AK122" i="2"/>
  <c r="AI39" i="3"/>
  <c r="AK65" i="2"/>
  <c r="AJ63" i="2"/>
  <c r="AH36" i="3"/>
  <c r="AK21" i="2"/>
  <c r="AK25" i="2"/>
  <c r="AL26" i="2" s="1"/>
  <c r="AK22" i="2"/>
  <c r="AJ64" i="2"/>
  <c r="AJ188" i="2" s="1"/>
  <c r="AK26" i="2"/>
  <c r="AG7" i="3"/>
  <c r="AI29" i="2"/>
  <c r="AI32" i="3"/>
  <c r="AJ29" i="2"/>
  <c r="AH32" i="3"/>
  <c r="N5" i="1"/>
  <c r="T12" i="1"/>
  <c r="T18" i="1" s="1"/>
  <c r="AG13" i="1"/>
  <c r="AG32" i="1" s="1"/>
  <c r="AG14" i="1"/>
  <c r="AG33" i="1" s="1"/>
  <c r="O17" i="1"/>
  <c r="P26" i="1" s="1"/>
  <c r="AG11" i="1"/>
  <c r="AG30" i="1" s="1"/>
  <c r="AK87" i="2" l="1"/>
  <c r="AJ92" i="2"/>
  <c r="AK90" i="2"/>
  <c r="AL91" i="2" s="1"/>
  <c r="AN85" i="2"/>
  <c r="AO6" i="2"/>
  <c r="AN27" i="2"/>
  <c r="AN56" i="2"/>
  <c r="AN46" i="2"/>
  <c r="AN38" i="2" s="1"/>
  <c r="AN145" i="2"/>
  <c r="AN16" i="2"/>
  <c r="AN77" i="2"/>
  <c r="AN94" i="2"/>
  <c r="AN129" i="2"/>
  <c r="AN153" i="2"/>
  <c r="AN137" i="2"/>
  <c r="AN111" i="2"/>
  <c r="AN102" i="2"/>
  <c r="AN120" i="2"/>
  <c r="AL40" i="2"/>
  <c r="AK33" i="3" s="1"/>
  <c r="AN177" i="2"/>
  <c r="AO177" i="2" s="1"/>
  <c r="AR4" i="2"/>
  <c r="AQ164" i="2"/>
  <c r="AQ157" i="2"/>
  <c r="AP159" i="2"/>
  <c r="AP162" i="2"/>
  <c r="AP158" i="2"/>
  <c r="AQ3" i="2"/>
  <c r="AP163" i="2"/>
  <c r="AP188" i="2"/>
  <c r="AO9" i="3"/>
  <c r="AO36" i="3"/>
  <c r="AN173" i="2"/>
  <c r="AO173" i="2" s="1"/>
  <c r="AK88" i="2"/>
  <c r="AO180" i="2"/>
  <c r="AP180" i="2" s="1"/>
  <c r="AO178" i="2"/>
  <c r="AP178" i="2" s="1"/>
  <c r="AO175" i="2"/>
  <c r="AP175" i="2" s="1"/>
  <c r="AM136" i="2"/>
  <c r="AN134" i="2"/>
  <c r="AO135" i="2" s="1"/>
  <c r="AP193" i="2" s="1"/>
  <c r="AN131" i="2"/>
  <c r="AN132" i="2"/>
  <c r="AL40" i="3"/>
  <c r="AN105" i="2"/>
  <c r="AM109" i="2"/>
  <c r="AN107" i="2"/>
  <c r="AO108" i="2" s="1"/>
  <c r="AN104" i="2"/>
  <c r="AK93" i="2"/>
  <c r="AL90" i="2"/>
  <c r="AM91" i="2" s="1"/>
  <c r="AL88" i="2"/>
  <c r="AL87" i="2"/>
  <c r="AN80" i="2"/>
  <c r="AN79" i="2"/>
  <c r="AM84" i="2"/>
  <c r="AN82" i="2"/>
  <c r="AO83" i="2" s="1"/>
  <c r="AM101" i="2"/>
  <c r="AN97" i="2"/>
  <c r="AN99" i="2"/>
  <c r="AO100" i="2" s="1"/>
  <c r="AN96" i="2"/>
  <c r="AL36" i="2"/>
  <c r="AM37" i="2" s="1"/>
  <c r="AM33" i="2"/>
  <c r="AM32" i="2"/>
  <c r="AL123" i="2"/>
  <c r="AM126" i="2" s="1"/>
  <c r="AN127" i="2" s="1"/>
  <c r="AO192" i="2" s="1"/>
  <c r="AL122" i="2"/>
  <c r="AM189" i="2"/>
  <c r="AM144" i="2"/>
  <c r="AN142" i="2"/>
  <c r="AO143" i="2" s="1"/>
  <c r="AN140" i="2"/>
  <c r="AN139" i="2"/>
  <c r="AL161" i="2"/>
  <c r="AK13" i="3" s="1"/>
  <c r="AK54" i="3" s="1"/>
  <c r="AK63" i="3" s="1"/>
  <c r="AM41" i="2"/>
  <c r="AL44" i="2"/>
  <c r="AM45" i="2" s="1"/>
  <c r="AM40" i="2"/>
  <c r="AN114" i="2"/>
  <c r="AO117" i="2" s="1"/>
  <c r="AP118" i="2" s="1"/>
  <c r="AL41" i="3"/>
  <c r="AM119" i="2"/>
  <c r="AL11" i="3" s="1"/>
  <c r="AN113" i="2"/>
  <c r="AK73" i="2"/>
  <c r="AL74" i="2" s="1"/>
  <c r="AI38" i="3"/>
  <c r="AJ75" i="2"/>
  <c r="AK70" i="2"/>
  <c r="AK71" i="2"/>
  <c r="AJ76" i="2"/>
  <c r="AI12" i="3" s="1"/>
  <c r="X42" i="3"/>
  <c r="X64" i="3" s="1"/>
  <c r="Z150" i="2"/>
  <c r="Y152" i="2"/>
  <c r="Y171" i="2" s="1"/>
  <c r="AK161" i="2"/>
  <c r="AJ13" i="3" s="1"/>
  <c r="AJ54" i="3" s="1"/>
  <c r="AJ63" i="3" s="1"/>
  <c r="AJ32" i="3"/>
  <c r="AK92" i="2"/>
  <c r="AK128" i="2"/>
  <c r="AJ39" i="3"/>
  <c r="AJ36" i="3"/>
  <c r="AK63" i="2"/>
  <c r="AL64" i="2" s="1"/>
  <c r="AL188" i="2" s="1"/>
  <c r="AI36" i="3"/>
  <c r="AK64" i="2"/>
  <c r="AK188" i="2" s="1"/>
  <c r="AI7" i="3"/>
  <c r="AH7" i="3"/>
  <c r="O28" i="1"/>
  <c r="AH14" i="1"/>
  <c r="AH33" i="1" s="1"/>
  <c r="AH13" i="1"/>
  <c r="AH32" i="1" s="1"/>
  <c r="T31" i="1"/>
  <c r="AH11" i="1"/>
  <c r="AH30" i="1" s="1"/>
  <c r="AO20" i="3" l="1"/>
  <c r="AO53" i="3" s="1"/>
  <c r="AR157" i="2"/>
  <c r="AP173" i="2"/>
  <c r="AQ178" i="2"/>
  <c r="AQ163" i="2"/>
  <c r="AQ162" i="2"/>
  <c r="AR3" i="2"/>
  <c r="AR164" i="2" s="1"/>
  <c r="AQ159" i="2"/>
  <c r="AQ158" i="2"/>
  <c r="AP20" i="3" s="1"/>
  <c r="AP53" i="3" s="1"/>
  <c r="AQ188" i="2"/>
  <c r="AP9" i="3"/>
  <c r="AP36" i="3"/>
  <c r="AP177" i="2"/>
  <c r="AO129" i="2"/>
  <c r="AO85" i="2"/>
  <c r="AO94" i="2"/>
  <c r="AP6" i="2"/>
  <c r="AO137" i="2"/>
  <c r="AO77" i="2"/>
  <c r="AO111" i="2"/>
  <c r="AO27" i="2"/>
  <c r="AO56" i="2"/>
  <c r="AO102" i="2"/>
  <c r="AO16" i="2"/>
  <c r="AO153" i="2"/>
  <c r="AO46" i="2"/>
  <c r="AO38" i="2" s="1"/>
  <c r="AO145" i="2"/>
  <c r="AO120" i="2"/>
  <c r="AQ180" i="2"/>
  <c r="AP174" i="2"/>
  <c r="AQ174" i="2" s="1"/>
  <c r="AL22" i="2"/>
  <c r="AL25" i="2"/>
  <c r="AM26" i="2" s="1"/>
  <c r="AL21" i="2"/>
  <c r="AL29" i="2" s="1"/>
  <c r="AK7" i="3" s="1"/>
  <c r="AL93" i="2"/>
  <c r="AM90" i="2"/>
  <c r="AN91" i="2" s="1"/>
  <c r="AL92" i="2"/>
  <c r="AM88" i="2"/>
  <c r="AM87" i="2"/>
  <c r="AL73" i="2"/>
  <c r="AM74" i="2" s="1"/>
  <c r="AL71" i="2"/>
  <c r="AL70" i="2"/>
  <c r="AK38" i="3" s="1"/>
  <c r="AM123" i="2"/>
  <c r="AL128" i="2"/>
  <c r="AM122" i="2"/>
  <c r="AN125" i="2" s="1"/>
  <c r="AN164" i="2" s="1"/>
  <c r="AK39" i="3"/>
  <c r="AO99" i="2"/>
  <c r="AP100" i="2" s="1"/>
  <c r="AO97" i="2"/>
  <c r="AO96" i="2"/>
  <c r="AN101" i="2"/>
  <c r="AL33" i="3"/>
  <c r="AM44" i="2"/>
  <c r="AN45" i="2" s="1"/>
  <c r="AN40" i="2"/>
  <c r="AN41" i="2"/>
  <c r="AO139" i="2"/>
  <c r="AN144" i="2"/>
  <c r="AO140" i="2"/>
  <c r="AO142" i="2"/>
  <c r="AP143" i="2" s="1"/>
  <c r="AO134" i="2"/>
  <c r="AP135" i="2" s="1"/>
  <c r="AQ193" i="2" s="1"/>
  <c r="AN136" i="2"/>
  <c r="AM40" i="3"/>
  <c r="AO132" i="2"/>
  <c r="AO131" i="2"/>
  <c r="AN109" i="2"/>
  <c r="AO104" i="2"/>
  <c r="AO105" i="2"/>
  <c r="AO107" i="2"/>
  <c r="AP108" i="2" s="1"/>
  <c r="AN32" i="2"/>
  <c r="AM36" i="2"/>
  <c r="AN37" i="2" s="1"/>
  <c r="AO189" i="2" s="1"/>
  <c r="AN33" i="2"/>
  <c r="AN189" i="2"/>
  <c r="AN84" i="2"/>
  <c r="AO80" i="2"/>
  <c r="AO82" i="2"/>
  <c r="AP83" i="2" s="1"/>
  <c r="AO79" i="2"/>
  <c r="AN119" i="2"/>
  <c r="AM11" i="3" s="1"/>
  <c r="AO114" i="2"/>
  <c r="AP117" i="2" s="1"/>
  <c r="AQ118" i="2" s="1"/>
  <c r="AO113" i="2"/>
  <c r="AM41" i="3"/>
  <c r="AK75" i="2"/>
  <c r="AJ38" i="3"/>
  <c r="AK76" i="2"/>
  <c r="AJ12" i="3" s="1"/>
  <c r="Z166" i="2"/>
  <c r="Y21" i="3" s="1"/>
  <c r="Y55" i="3" s="1"/>
  <c r="Z148" i="2"/>
  <c r="AK29" i="2"/>
  <c r="AJ7" i="3" s="1"/>
  <c r="P15" i="1"/>
  <c r="P17" i="1" s="1"/>
  <c r="Q26" i="1" s="1"/>
  <c r="O5" i="1"/>
  <c r="U12" i="1"/>
  <c r="U18" i="1" s="1"/>
  <c r="AI13" i="1"/>
  <c r="AI32" i="1" s="1"/>
  <c r="AI14" i="1"/>
  <c r="AI33" i="1" s="1"/>
  <c r="AI11" i="1"/>
  <c r="AI30" i="1" s="1"/>
  <c r="AR180" i="2" l="1"/>
  <c r="AQ177" i="2"/>
  <c r="AQ173" i="2"/>
  <c r="AP120" i="2"/>
  <c r="AP153" i="2"/>
  <c r="AP16" i="2"/>
  <c r="AP77" i="2"/>
  <c r="AP102" i="2"/>
  <c r="AQ6" i="2"/>
  <c r="AQ181" i="2"/>
  <c r="AP129" i="2"/>
  <c r="AP85" i="2"/>
  <c r="AP137" i="2"/>
  <c r="AP46" i="2"/>
  <c r="AP38" i="2" s="1"/>
  <c r="AP94" i="2"/>
  <c r="AP56" i="2"/>
  <c r="AP145" i="2"/>
  <c r="AP111" i="2"/>
  <c r="AP27" i="2"/>
  <c r="AQ20" i="3"/>
  <c r="AQ53" i="3" s="1"/>
  <c r="AN126" i="2"/>
  <c r="AO127" i="2" s="1"/>
  <c r="AP192" i="2" s="1"/>
  <c r="AQ175" i="2"/>
  <c r="AR175" i="2" s="1"/>
  <c r="AR174" i="2"/>
  <c r="AR158" i="2"/>
  <c r="AR162" i="2"/>
  <c r="AR159" i="2"/>
  <c r="AR163" i="2"/>
  <c r="AQ36" i="3"/>
  <c r="AQ9" i="3"/>
  <c r="AR188" i="2"/>
  <c r="AM161" i="2"/>
  <c r="AL13" i="3" s="1"/>
  <c r="AL54" i="3" s="1"/>
  <c r="AL63" i="3" s="1"/>
  <c r="AM25" i="2"/>
  <c r="AN26" i="2" s="1"/>
  <c r="AK32" i="3"/>
  <c r="AM22" i="2"/>
  <c r="AN40" i="3"/>
  <c r="AP132" i="2"/>
  <c r="AP131" i="2"/>
  <c r="AO136" i="2"/>
  <c r="AP134" i="2"/>
  <c r="AQ135" i="2" s="1"/>
  <c r="AR193" i="2" s="1"/>
  <c r="AP140" i="2"/>
  <c r="AP142" i="2"/>
  <c r="AQ143" i="2" s="1"/>
  <c r="AP139" i="2"/>
  <c r="AO144" i="2"/>
  <c r="AP99" i="2"/>
  <c r="AQ100" i="2" s="1"/>
  <c r="AP97" i="2"/>
  <c r="AO101" i="2"/>
  <c r="AP96" i="2"/>
  <c r="AO84" i="2"/>
  <c r="AP82" i="2"/>
  <c r="AQ83" i="2" s="1"/>
  <c r="AP80" i="2"/>
  <c r="AP79" i="2"/>
  <c r="AM93" i="2"/>
  <c r="AN90" i="2"/>
  <c r="AO91" i="2" s="1"/>
  <c r="AM92" i="2"/>
  <c r="AN88" i="2"/>
  <c r="AN87" i="2"/>
  <c r="AL76" i="2"/>
  <c r="AM191" i="2" s="1"/>
  <c r="AL75" i="2"/>
  <c r="AL172" i="2" s="1"/>
  <c r="AM73" i="2"/>
  <c r="AN74" i="2" s="1"/>
  <c r="AM71" i="2"/>
  <c r="AM70" i="2"/>
  <c r="AO32" i="2"/>
  <c r="AO33" i="2"/>
  <c r="AN36" i="2"/>
  <c r="AO37" i="2" s="1"/>
  <c r="AO41" i="2"/>
  <c r="AN44" i="2"/>
  <c r="AO45" i="2" s="1"/>
  <c r="AO40" i="2"/>
  <c r="AM33" i="3"/>
  <c r="AO109" i="2"/>
  <c r="AP104" i="2"/>
  <c r="AP107" i="2"/>
  <c r="AQ108" i="2" s="1"/>
  <c r="AP105" i="2"/>
  <c r="AN123" i="2"/>
  <c r="AO126" i="2" s="1"/>
  <c r="AP127" i="2" s="1"/>
  <c r="AQ192" i="2" s="1"/>
  <c r="AM128" i="2"/>
  <c r="AN122" i="2"/>
  <c r="AL39" i="3"/>
  <c r="AO119" i="2"/>
  <c r="AN11" i="3" s="1"/>
  <c r="AP114" i="2"/>
  <c r="AQ117" i="2" s="1"/>
  <c r="AR118" i="2" s="1"/>
  <c r="AN41" i="3"/>
  <c r="AP113" i="2"/>
  <c r="Z152" i="2"/>
  <c r="Z171" i="2" s="1"/>
  <c r="AA150" i="2"/>
  <c r="Y42" i="3"/>
  <c r="Y64" i="3" s="1"/>
  <c r="AJ14" i="1"/>
  <c r="AJ33" i="1" s="1"/>
  <c r="AJ13" i="1"/>
  <c r="AJ32" i="1" s="1"/>
  <c r="U31" i="1"/>
  <c r="P28" i="1"/>
  <c r="Q15" i="1" s="1"/>
  <c r="AJ11" i="1"/>
  <c r="AJ30" i="1" s="1"/>
  <c r="AK12" i="3" l="1"/>
  <c r="AR173" i="2"/>
  <c r="AR177" i="2"/>
  <c r="AQ46" i="2"/>
  <c r="AQ38" i="2" s="1"/>
  <c r="AQ120" i="2"/>
  <c r="AQ27" i="2"/>
  <c r="AQ94" i="2"/>
  <c r="AQ56" i="2"/>
  <c r="AQ137" i="2"/>
  <c r="AQ85" i="2"/>
  <c r="AQ153" i="2"/>
  <c r="AQ77" i="2"/>
  <c r="AR6" i="2"/>
  <c r="AQ111" i="2"/>
  <c r="AQ129" i="2"/>
  <c r="AQ16" i="2"/>
  <c r="AQ145" i="2"/>
  <c r="AQ102" i="2"/>
  <c r="AR181" i="2"/>
  <c r="AR178" i="2"/>
  <c r="AM21" i="2"/>
  <c r="AN128" i="2"/>
  <c r="AO123" i="2"/>
  <c r="AP126" i="2" s="1"/>
  <c r="AQ127" i="2" s="1"/>
  <c r="AR192" i="2" s="1"/>
  <c r="AO122" i="2"/>
  <c r="AM39" i="3"/>
  <c r="AP40" i="2"/>
  <c r="AP41" i="2"/>
  <c r="AN33" i="3"/>
  <c r="AO44" i="2"/>
  <c r="AP45" i="2" s="1"/>
  <c r="AO36" i="2"/>
  <c r="AP37" i="2" s="1"/>
  <c r="AP33" i="2"/>
  <c r="AP32" i="2"/>
  <c r="AQ104" i="2"/>
  <c r="AP109" i="2"/>
  <c r="AQ105" i="2"/>
  <c r="AQ107" i="2"/>
  <c r="AR108" i="2" s="1"/>
  <c r="AP84" i="2"/>
  <c r="AQ80" i="2"/>
  <c r="AQ82" i="2"/>
  <c r="AR83" i="2" s="1"/>
  <c r="AQ79" i="2"/>
  <c r="AQ132" i="2"/>
  <c r="AP136" i="2"/>
  <c r="AQ131" i="2"/>
  <c r="AO40" i="3"/>
  <c r="AQ134" i="2"/>
  <c r="AR135" i="2" s="1"/>
  <c r="AM75" i="2"/>
  <c r="AM172" i="2" s="1"/>
  <c r="AN71" i="2"/>
  <c r="AN73" i="2"/>
  <c r="AO74" i="2" s="1"/>
  <c r="AM76" i="2"/>
  <c r="AL12" i="3" s="1"/>
  <c r="AL38" i="3"/>
  <c r="AN70" i="2"/>
  <c r="AQ96" i="2"/>
  <c r="AQ99" i="2"/>
  <c r="AR100" i="2" s="1"/>
  <c r="AQ97" i="2"/>
  <c r="AP101" i="2"/>
  <c r="AP189" i="2"/>
  <c r="AO87" i="2"/>
  <c r="AN93" i="2"/>
  <c r="AO90" i="2"/>
  <c r="AP91" i="2" s="1"/>
  <c r="AO88" i="2"/>
  <c r="AN92" i="2"/>
  <c r="AP144" i="2"/>
  <c r="AQ142" i="2"/>
  <c r="AR143" i="2" s="1"/>
  <c r="AQ140" i="2"/>
  <c r="AQ139" i="2"/>
  <c r="AO41" i="3"/>
  <c r="AQ113" i="2"/>
  <c r="AP119" i="2"/>
  <c r="AO11" i="3" s="1"/>
  <c r="AQ114" i="2"/>
  <c r="AR117" i="2" s="1"/>
  <c r="AA166" i="2"/>
  <c r="Z21" i="3" s="1"/>
  <c r="Z55" i="3" s="1"/>
  <c r="AA148" i="2"/>
  <c r="V12" i="1"/>
  <c r="V18" i="1" s="1"/>
  <c r="P5" i="1"/>
  <c r="AK13" i="1"/>
  <c r="AK32" i="1" s="1"/>
  <c r="AK14" i="1"/>
  <c r="AK33" i="1" s="1"/>
  <c r="Q17" i="1"/>
  <c r="R26" i="1" s="1"/>
  <c r="AK11" i="1"/>
  <c r="AK30" i="1" s="1"/>
  <c r="AR111" i="2" l="1"/>
  <c r="AR77" i="2"/>
  <c r="AR102" i="2"/>
  <c r="AR120" i="2"/>
  <c r="AR85" i="2"/>
  <c r="AR137" i="2"/>
  <c r="AR56" i="2"/>
  <c r="AR94" i="2"/>
  <c r="AR145" i="2"/>
  <c r="AR129" i="2"/>
  <c r="AR27" i="2"/>
  <c r="AR16" i="2"/>
  <c r="AR153" i="2"/>
  <c r="AR46" i="2"/>
  <c r="AR38" i="2" s="1"/>
  <c r="AM29" i="2"/>
  <c r="AL7" i="3" s="1"/>
  <c r="AL32" i="3"/>
  <c r="AN22" i="2"/>
  <c r="AP123" i="2"/>
  <c r="AQ126" i="2" s="1"/>
  <c r="AR127" i="2" s="1"/>
  <c r="AP122" i="2"/>
  <c r="AO128" i="2"/>
  <c r="AN39" i="3"/>
  <c r="AO92" i="2"/>
  <c r="AP90" i="2"/>
  <c r="AQ91" i="2" s="1"/>
  <c r="AO93" i="2"/>
  <c r="AP87" i="2"/>
  <c r="AP88" i="2"/>
  <c r="AQ189" i="2"/>
  <c r="AR80" i="2"/>
  <c r="AR82" i="2"/>
  <c r="AR79" i="2"/>
  <c r="AR84" i="2" s="1"/>
  <c r="AQ84" i="2"/>
  <c r="AO71" i="2"/>
  <c r="AN75" i="2"/>
  <c r="AN172" i="2" s="1"/>
  <c r="AM38" i="3"/>
  <c r="AO73" i="2"/>
  <c r="AP74" i="2" s="1"/>
  <c r="AO70" i="2"/>
  <c r="AN76" i="2"/>
  <c r="AM12" i="3" s="1"/>
  <c r="AQ33" i="2"/>
  <c r="AP36" i="2"/>
  <c r="AQ37" i="2" s="1"/>
  <c r="AQ32" i="2"/>
  <c r="AR140" i="2"/>
  <c r="AR139" i="2"/>
  <c r="AR144" i="2" s="1"/>
  <c r="AQ144" i="2"/>
  <c r="AR142" i="2"/>
  <c r="AR99" i="2"/>
  <c r="AR97" i="2"/>
  <c r="AQ101" i="2"/>
  <c r="AR96" i="2"/>
  <c r="AN191" i="2"/>
  <c r="AQ40" i="2"/>
  <c r="AO33" i="3"/>
  <c r="AP44" i="2"/>
  <c r="AQ45" i="2" s="1"/>
  <c r="AQ41" i="2"/>
  <c r="AQ136" i="2"/>
  <c r="AR131" i="2"/>
  <c r="AP40" i="3"/>
  <c r="AR134" i="2"/>
  <c r="AR132" i="2"/>
  <c r="AQ109" i="2"/>
  <c r="AR107" i="2"/>
  <c r="AR105" i="2"/>
  <c r="AR104" i="2"/>
  <c r="AR109" i="2" s="1"/>
  <c r="AQ119" i="2"/>
  <c r="AP11" i="3" s="1"/>
  <c r="AR114" i="2"/>
  <c r="AR113" i="2"/>
  <c r="AP41" i="3"/>
  <c r="AB150" i="2"/>
  <c r="Z42" i="3"/>
  <c r="Z64" i="3" s="1"/>
  <c r="AA152" i="2"/>
  <c r="AA171" i="2" s="1"/>
  <c r="Q28" i="1"/>
  <c r="AL14" i="1"/>
  <c r="AL33" i="1" s="1"/>
  <c r="AM14" i="1" s="1"/>
  <c r="AM33" i="1" s="1"/>
  <c r="AN14" i="1" s="1"/>
  <c r="AN33" i="1" s="1"/>
  <c r="AL13" i="1"/>
  <c r="AL32" i="1" s="1"/>
  <c r="AM13" i="1" s="1"/>
  <c r="AM32" i="1" s="1"/>
  <c r="AN13" i="1" s="1"/>
  <c r="AN32" i="1" s="1"/>
  <c r="V31" i="1"/>
  <c r="AL11" i="1"/>
  <c r="AL30" i="1" s="1"/>
  <c r="AM11" i="1" s="1"/>
  <c r="AM30" i="1" s="1"/>
  <c r="AN11" i="1" s="1"/>
  <c r="AN30" i="1" s="1"/>
  <c r="AN25" i="2" l="1"/>
  <c r="AO26" i="2" s="1"/>
  <c r="AN161" i="2"/>
  <c r="AM13" i="3" s="1"/>
  <c r="AM54" i="3" s="1"/>
  <c r="AM63" i="3" s="1"/>
  <c r="AN21" i="2"/>
  <c r="AP92" i="2"/>
  <c r="AQ87" i="2"/>
  <c r="AQ88" i="2"/>
  <c r="AQ90" i="2"/>
  <c r="AR91" i="2" s="1"/>
  <c r="AP93" i="2"/>
  <c r="AR136" i="2"/>
  <c r="AQ40" i="3"/>
  <c r="AP73" i="2"/>
  <c r="AQ74" i="2" s="1"/>
  <c r="AP71" i="2"/>
  <c r="AN38" i="3"/>
  <c r="AP70" i="2"/>
  <c r="AO76" i="2"/>
  <c r="AN12" i="3" s="1"/>
  <c r="AO75" i="2"/>
  <c r="AO172" i="2" s="1"/>
  <c r="AR189" i="2"/>
  <c r="AR41" i="2"/>
  <c r="AR40" i="2"/>
  <c r="AQ44" i="2"/>
  <c r="AR45" i="2" s="1"/>
  <c r="AP33" i="3"/>
  <c r="AQ123" i="2"/>
  <c r="AR126" i="2" s="1"/>
  <c r="AP128" i="2"/>
  <c r="AQ122" i="2"/>
  <c r="AO39" i="3"/>
  <c r="AR101" i="2"/>
  <c r="AQ36" i="2"/>
  <c r="AR37" i="2" s="1"/>
  <c r="AR33" i="2"/>
  <c r="AR32" i="2"/>
  <c r="AR36" i="2" s="1"/>
  <c r="AO191" i="2"/>
  <c r="AQ41" i="3"/>
  <c r="AR119" i="2"/>
  <c r="AQ11" i="3" s="1"/>
  <c r="AB166" i="2"/>
  <c r="AA21" i="3" s="1"/>
  <c r="AA55" i="3" s="1"/>
  <c r="AB148" i="2"/>
  <c r="Q5" i="1"/>
  <c r="R15" i="1"/>
  <c r="R17" i="1" s="1"/>
  <c r="S26" i="1" s="1"/>
  <c r="W12" i="1"/>
  <c r="W18" i="1" s="1"/>
  <c r="AN29" i="2" l="1"/>
  <c r="AM7" i="3" s="1"/>
  <c r="AM32" i="3"/>
  <c r="AO161" i="2"/>
  <c r="AN13" i="3" s="1"/>
  <c r="AN54" i="3" s="1"/>
  <c r="AN63" i="3" s="1"/>
  <c r="AO22" i="2"/>
  <c r="AR122" i="2"/>
  <c r="AR123" i="2"/>
  <c r="AQ128" i="2"/>
  <c r="AP39" i="3"/>
  <c r="AP75" i="2"/>
  <c r="AP172" i="2" s="1"/>
  <c r="AQ73" i="2"/>
  <c r="AR74" i="2" s="1"/>
  <c r="AO38" i="3"/>
  <c r="AQ70" i="2"/>
  <c r="AP76" i="2"/>
  <c r="AO12" i="3" s="1"/>
  <c r="AQ71" i="2"/>
  <c r="AP191" i="2"/>
  <c r="AR87" i="2"/>
  <c r="AQ92" i="2"/>
  <c r="AQ93" i="2"/>
  <c r="AR90" i="2"/>
  <c r="AR88" i="2"/>
  <c r="AR44" i="2"/>
  <c r="AQ33" i="3"/>
  <c r="AA42" i="3"/>
  <c r="AA64" i="3" s="1"/>
  <c r="AC150" i="2"/>
  <c r="AC166" i="2" s="1"/>
  <c r="AB21" i="3" s="1"/>
  <c r="AB55" i="3" s="1"/>
  <c r="AB152" i="2"/>
  <c r="AB171" i="2" s="1"/>
  <c r="R28" i="1"/>
  <c r="W31" i="1"/>
  <c r="AO25" i="2" l="1"/>
  <c r="AP26" i="2" s="1"/>
  <c r="AO21" i="2"/>
  <c r="AP24" i="2" s="1"/>
  <c r="AR93" i="2"/>
  <c r="AR92" i="2"/>
  <c r="AQ191" i="2"/>
  <c r="AQ75" i="2"/>
  <c r="AQ172" i="2" s="1"/>
  <c r="AR73" i="2"/>
  <c r="AQ76" i="2"/>
  <c r="AP12" i="3" s="1"/>
  <c r="AP38" i="3"/>
  <c r="AR71" i="2"/>
  <c r="AR70" i="2"/>
  <c r="AR128" i="2"/>
  <c r="AQ39" i="3"/>
  <c r="AC148" i="2"/>
  <c r="S15" i="1"/>
  <c r="S17" i="1" s="1"/>
  <c r="T26" i="1" s="1"/>
  <c r="R5" i="1"/>
  <c r="X12" i="1"/>
  <c r="X18" i="1" s="1"/>
  <c r="AP161" i="2" l="1"/>
  <c r="AO13" i="3" s="1"/>
  <c r="AO54" i="3" s="1"/>
  <c r="AO63" i="3" s="1"/>
  <c r="AN32" i="3"/>
  <c r="AP21" i="2"/>
  <c r="AP29" i="2" s="1"/>
  <c r="AO7" i="3" s="1"/>
  <c r="AO29" i="2"/>
  <c r="AN7" i="3" s="1"/>
  <c r="AR191" i="2"/>
  <c r="AQ38" i="3"/>
  <c r="AR75" i="2"/>
  <c r="AR172" i="2" s="1"/>
  <c r="AR76" i="2"/>
  <c r="AQ12" i="3" s="1"/>
  <c r="AC152" i="2"/>
  <c r="AC171" i="2" s="1"/>
  <c r="AD150" i="2"/>
  <c r="AD166" i="2" s="1"/>
  <c r="AC21" i="3" s="1"/>
  <c r="AC55" i="3" s="1"/>
  <c r="AB42" i="3"/>
  <c r="AB64" i="3" s="1"/>
  <c r="AD148" i="2"/>
  <c r="X31" i="1"/>
  <c r="S28" i="1"/>
  <c r="AO32" i="3" l="1"/>
  <c r="AQ24" i="2"/>
  <c r="AQ161" i="2" s="1"/>
  <c r="AP13" i="3" s="1"/>
  <c r="AP54" i="3" s="1"/>
  <c r="AP63" i="3" s="1"/>
  <c r="AP22" i="2"/>
  <c r="AP25" i="2"/>
  <c r="AQ26" i="2" s="1"/>
  <c r="AE150" i="2"/>
  <c r="AC42" i="3"/>
  <c r="AC64" i="3" s="1"/>
  <c r="AD152" i="2"/>
  <c r="AD171" i="2" s="1"/>
  <c r="Y12" i="1"/>
  <c r="Y18" i="1" s="1"/>
  <c r="S5" i="1"/>
  <c r="T15" i="1"/>
  <c r="AQ22" i="2" l="1"/>
  <c r="AQ21" i="2"/>
  <c r="AQ29" i="2" s="1"/>
  <c r="AP7" i="3" s="1"/>
  <c r="AQ25" i="2"/>
  <c r="AR26" i="2" s="1"/>
  <c r="AE166" i="2"/>
  <c r="AD21" i="3" s="1"/>
  <c r="AD55" i="3" s="1"/>
  <c r="AE148" i="2"/>
  <c r="Y31" i="1"/>
  <c r="T17" i="1"/>
  <c r="U26" i="1" s="1"/>
  <c r="AP32" i="3" l="1"/>
  <c r="AR22" i="2"/>
  <c r="AR25" i="2"/>
  <c r="AR24" i="2"/>
  <c r="AD42" i="3"/>
  <c r="AD64" i="3" s="1"/>
  <c r="AF150" i="2"/>
  <c r="AF166" i="2" s="1"/>
  <c r="AE21" i="3" s="1"/>
  <c r="AE55" i="3" s="1"/>
  <c r="AE152" i="2"/>
  <c r="AE171" i="2" s="1"/>
  <c r="Z12" i="1"/>
  <c r="Z18" i="1" s="1"/>
  <c r="T28" i="1"/>
  <c r="T5" i="1" s="1"/>
  <c r="AR161" i="2" l="1"/>
  <c r="AQ13" i="3" s="1"/>
  <c r="AQ54" i="3" s="1"/>
  <c r="AQ63" i="3" s="1"/>
  <c r="AR21" i="2"/>
  <c r="AF148" i="2"/>
  <c r="AF152" i="2" s="1"/>
  <c r="AF171" i="2" s="1"/>
  <c r="U15" i="1"/>
  <c r="U17" i="1" s="1"/>
  <c r="V26" i="1" s="1"/>
  <c r="Z31" i="1"/>
  <c r="AQ32" i="3" l="1"/>
  <c r="AR29" i="2"/>
  <c r="AQ7" i="3" s="1"/>
  <c r="AE42" i="3"/>
  <c r="AE64" i="3" s="1"/>
  <c r="AG150" i="2"/>
  <c r="AG148" i="2" s="1"/>
  <c r="U28" i="1"/>
  <c r="AA12" i="1"/>
  <c r="AA18" i="1" s="1"/>
  <c r="AG166" i="2" l="1"/>
  <c r="AF21" i="3" s="1"/>
  <c r="AF55" i="3" s="1"/>
  <c r="AF42" i="3"/>
  <c r="AF64" i="3" s="1"/>
  <c r="AG152" i="2"/>
  <c r="AG171" i="2" s="1"/>
  <c r="AH150" i="2"/>
  <c r="U5" i="1"/>
  <c r="V15" i="1"/>
  <c r="V17" i="1" s="1"/>
  <c r="W26" i="1" s="1"/>
  <c r="AA31" i="1"/>
  <c r="AH166" i="2" l="1"/>
  <c r="AG21" i="3" s="1"/>
  <c r="AG55" i="3" s="1"/>
  <c r="AH148" i="2"/>
  <c r="V28" i="1"/>
  <c r="AB12" i="1"/>
  <c r="AB18" i="1" s="1"/>
  <c r="AI150" i="2" l="1"/>
  <c r="AI166" i="2" s="1"/>
  <c r="AH21" i="3" s="1"/>
  <c r="AH55" i="3" s="1"/>
  <c r="AH152" i="2"/>
  <c r="AH171" i="2" s="1"/>
  <c r="AG42" i="3"/>
  <c r="AG64" i="3" s="1"/>
  <c r="V5" i="1"/>
  <c r="W15" i="1"/>
  <c r="W17" i="1" s="1"/>
  <c r="X26" i="1" s="1"/>
  <c r="AB31" i="1"/>
  <c r="AI148" i="2" l="1"/>
  <c r="AI152" i="2" s="1"/>
  <c r="AI171" i="2" s="1"/>
  <c r="AC12" i="1"/>
  <c r="AC18" i="1" s="1"/>
  <c r="W28" i="1"/>
  <c r="AH42" i="3" l="1"/>
  <c r="AH64" i="3" s="1"/>
  <c r="AJ150" i="2"/>
  <c r="AC31" i="1"/>
  <c r="W5" i="1"/>
  <c r="X15" i="1"/>
  <c r="AJ166" i="2" l="1"/>
  <c r="AI21" i="3" s="1"/>
  <c r="AI55" i="3" s="1"/>
  <c r="AJ148" i="2"/>
  <c r="AD12" i="1"/>
  <c r="AD18" i="1" s="1"/>
  <c r="X17" i="1"/>
  <c r="Y26" i="1" s="1"/>
  <c r="AI42" i="3" l="1"/>
  <c r="AI64" i="3" s="1"/>
  <c r="AK150" i="2"/>
  <c r="AK166" i="2" s="1"/>
  <c r="AJ21" i="3" s="1"/>
  <c r="AJ55" i="3" s="1"/>
  <c r="AJ152" i="2"/>
  <c r="AJ171" i="2" s="1"/>
  <c r="AK148" i="2"/>
  <c r="AD31" i="1"/>
  <c r="X28" i="1"/>
  <c r="AL150" i="2" l="1"/>
  <c r="AJ42" i="3"/>
  <c r="AJ64" i="3" s="1"/>
  <c r="AK152" i="2"/>
  <c r="AK171" i="2" s="1"/>
  <c r="AE12" i="1"/>
  <c r="AE18" i="1" s="1"/>
  <c r="X5" i="1"/>
  <c r="Y15" i="1"/>
  <c r="AL148" i="2" l="1"/>
  <c r="AL166" i="2"/>
  <c r="AK21" i="3" s="1"/>
  <c r="AK55" i="3" s="1"/>
  <c r="AE31" i="1"/>
  <c r="Y17" i="1"/>
  <c r="Z26" i="1" s="1"/>
  <c r="AK42" i="3" l="1"/>
  <c r="AK64" i="3" s="1"/>
  <c r="AM150" i="2"/>
  <c r="AM166" i="2" s="1"/>
  <c r="AL21" i="3" s="1"/>
  <c r="AL55" i="3" s="1"/>
  <c r="AL152" i="2"/>
  <c r="AL171" i="2" s="1"/>
  <c r="Y28" i="1"/>
  <c r="AF12" i="1"/>
  <c r="AF18" i="1" s="1"/>
  <c r="AM148" i="2" l="1"/>
  <c r="AM152" i="2" s="1"/>
  <c r="AM171" i="2" s="1"/>
  <c r="AL18" i="3"/>
  <c r="AL22" i="3" s="1"/>
  <c r="AM183" i="2"/>
  <c r="AL183" i="2"/>
  <c r="AK18" i="3"/>
  <c r="AK22" i="3" s="1"/>
  <c r="AN150" i="2"/>
  <c r="AN166" i="2" s="1"/>
  <c r="AM21" i="3" s="1"/>
  <c r="AM55" i="3" s="1"/>
  <c r="AL42" i="3"/>
  <c r="AL64" i="3" s="1"/>
  <c r="AN148" i="2"/>
  <c r="AF31" i="1"/>
  <c r="Y5" i="1"/>
  <c r="Z15" i="1"/>
  <c r="Z17" i="1" s="1"/>
  <c r="AA26" i="1" s="1"/>
  <c r="AG12" i="1"/>
  <c r="AG18" i="1" s="1"/>
  <c r="AN152" i="2" l="1"/>
  <c r="AN171" i="2" s="1"/>
  <c r="AO150" i="2"/>
  <c r="AO166" i="2" s="1"/>
  <c r="AN21" i="3" s="1"/>
  <c r="AN55" i="3" s="1"/>
  <c r="AM42" i="3"/>
  <c r="AM64" i="3" s="1"/>
  <c r="AO148" i="2"/>
  <c r="AG31" i="1"/>
  <c r="AH12" i="1" s="1"/>
  <c r="Z28" i="1"/>
  <c r="Z5" i="1" s="1"/>
  <c r="AN183" i="2" l="1"/>
  <c r="AM18" i="3"/>
  <c r="AM22" i="3" s="1"/>
  <c r="AN42" i="3"/>
  <c r="AN64" i="3" s="1"/>
  <c r="AP150" i="2"/>
  <c r="AP166" i="2" s="1"/>
  <c r="AO21" i="3" s="1"/>
  <c r="AO55" i="3" s="1"/>
  <c r="AO152" i="2"/>
  <c r="AO171" i="2" s="1"/>
  <c r="AH18" i="1"/>
  <c r="AH31" i="1"/>
  <c r="AI12" i="1"/>
  <c r="AI18" i="1" s="1"/>
  <c r="AI31" i="1"/>
  <c r="AA15" i="1"/>
  <c r="AA17" i="1" s="1"/>
  <c r="AB26" i="1" s="1"/>
  <c r="AP148" i="2" l="1"/>
  <c r="AN18" i="3"/>
  <c r="AN22" i="3" s="1"/>
  <c r="AO183" i="2"/>
  <c r="AP152" i="2"/>
  <c r="AP171" i="2" s="1"/>
  <c r="AQ150" i="2"/>
  <c r="AQ166" i="2" s="1"/>
  <c r="AP21" i="3" s="1"/>
  <c r="AP55" i="3" s="1"/>
  <c r="AO42" i="3"/>
  <c r="AO64" i="3" s="1"/>
  <c r="AQ148" i="2"/>
  <c r="AQ152" i="2" s="1"/>
  <c r="AQ171" i="2" s="1"/>
  <c r="AA28" i="1"/>
  <c r="AJ12" i="1"/>
  <c r="AJ18" i="1" s="1"/>
  <c r="AJ31" i="1"/>
  <c r="AQ183" i="2" l="1"/>
  <c r="AP18" i="3"/>
  <c r="AP22" i="3" s="1"/>
  <c r="AP183" i="2"/>
  <c r="AO18" i="3"/>
  <c r="AO22" i="3" s="1"/>
  <c r="AR150" i="2"/>
  <c r="AR166" i="2" s="1"/>
  <c r="AQ21" i="3" s="1"/>
  <c r="AQ55" i="3" s="1"/>
  <c r="AP42" i="3"/>
  <c r="AP64" i="3" s="1"/>
  <c r="AR148" i="2"/>
  <c r="AQ42" i="3" s="1"/>
  <c r="AQ64" i="3" s="1"/>
  <c r="AA5" i="1"/>
  <c r="AB15" i="1"/>
  <c r="AB17" i="1" s="1"/>
  <c r="AC26" i="1" s="1"/>
  <c r="AK12" i="1"/>
  <c r="AK18" i="1" s="1"/>
  <c r="AR152" i="2" l="1"/>
  <c r="AR171" i="2" s="1"/>
  <c r="AK31" i="1"/>
  <c r="AL12" i="1"/>
  <c r="AL18" i="1" s="1"/>
  <c r="AB28" i="1"/>
  <c r="AR183" i="2" l="1"/>
  <c r="AQ18" i="3"/>
  <c r="AQ22" i="3" s="1"/>
  <c r="AL31" i="1"/>
  <c r="AM12" i="1" s="1"/>
  <c r="AB5" i="1"/>
  <c r="AC15" i="1"/>
  <c r="AM31" i="1" l="1"/>
  <c r="AN12" i="1" s="1"/>
  <c r="AM18" i="1"/>
  <c r="AC17" i="1"/>
  <c r="AD26" i="1" s="1"/>
  <c r="AN31" i="1" l="1"/>
  <c r="AN18" i="1"/>
  <c r="AC28" i="1"/>
  <c r="AC5" i="1" s="1"/>
  <c r="AD15" i="1" l="1"/>
  <c r="AD17" i="1" s="1"/>
  <c r="AE26" i="1" s="1"/>
  <c r="AD28" i="1" l="1"/>
  <c r="AD5" i="1" l="1"/>
  <c r="AE15" i="1"/>
  <c r="AE17" i="1" l="1"/>
  <c r="AF26" i="1" s="1"/>
  <c r="AE28" i="1" l="1"/>
  <c r="AE5" i="1" l="1"/>
  <c r="AF15" i="1"/>
  <c r="AF17" i="1" s="1"/>
  <c r="AG26" i="1" s="1"/>
  <c r="AF28" i="1" l="1"/>
  <c r="AF5" i="1" s="1"/>
  <c r="AG15" i="1" l="1"/>
  <c r="AG17" i="1" s="1"/>
  <c r="AH26" i="1" s="1"/>
  <c r="AG28" i="1" l="1"/>
  <c r="AH15" i="1" s="1"/>
  <c r="AG5" i="1" l="1"/>
  <c r="AH17" i="1"/>
  <c r="AI26" i="1" s="1"/>
  <c r="AH28" i="1" l="1"/>
  <c r="AH5" i="1" l="1"/>
  <c r="AI15" i="1"/>
  <c r="AI17" i="1" s="1"/>
  <c r="AJ26" i="1" s="1"/>
  <c r="AI28" i="1" l="1"/>
  <c r="AI5" i="1" s="1"/>
  <c r="AJ15" i="1" l="1"/>
  <c r="AJ17" i="1" s="1"/>
  <c r="AK26" i="1" s="1"/>
  <c r="AJ28" i="1" l="1"/>
  <c r="AJ5" i="1" l="1"/>
  <c r="AK15" i="1"/>
  <c r="AK17" i="1" s="1"/>
  <c r="AL26" i="1" s="1"/>
  <c r="AK28" i="1" l="1"/>
  <c r="AL15" i="1" l="1"/>
  <c r="AL17" i="1" s="1"/>
  <c r="AM26" i="1" s="1"/>
  <c r="AK5" i="1"/>
  <c r="AL28" i="1" l="1"/>
  <c r="AL5" i="1" l="1"/>
  <c r="AM15" i="1"/>
  <c r="AM17" i="1" l="1"/>
  <c r="AN26" i="1" s="1"/>
  <c r="AM28" i="1" l="1"/>
  <c r="AN15" i="1" s="1"/>
  <c r="AN17" i="1" s="1"/>
  <c r="AN28" i="1" l="1"/>
  <c r="AN5" i="1" s="1"/>
  <c r="AM5" i="1"/>
  <c r="S36" i="3" l="1"/>
  <c r="T36" i="3"/>
  <c r="T9" i="3" l="1"/>
  <c r="U36" i="3"/>
  <c r="U9" i="3" l="1"/>
  <c r="V36" i="3"/>
  <c r="V9" i="3" l="1"/>
  <c r="W36" i="3"/>
  <c r="W9" i="3" l="1"/>
  <c r="X9" i="3"/>
  <c r="X36" i="3"/>
  <c r="Y36" i="3" l="1"/>
  <c r="Y9" i="3" l="1"/>
  <c r="Z36" i="3"/>
  <c r="AA36" i="3" l="1"/>
  <c r="Z9" i="3"/>
  <c r="AA9" i="3" l="1"/>
  <c r="AB36" i="3"/>
  <c r="AC36" i="3" l="1"/>
  <c r="AB9" i="3"/>
  <c r="AC9" i="3" l="1"/>
  <c r="AD36" i="3"/>
  <c r="AD9" i="3" l="1"/>
  <c r="AE36" i="3"/>
  <c r="AE9" i="3" l="1"/>
  <c r="AG36" i="3"/>
  <c r="AF36" i="3"/>
  <c r="AF9" i="3" l="1"/>
  <c r="AG9" i="3" l="1"/>
  <c r="AH9" i="3" l="1"/>
  <c r="AJ9" i="3"/>
  <c r="AI9" i="3"/>
  <c r="E30" i="3"/>
  <c r="F12" i="2" s="1"/>
  <c r="E26" i="3" l="1"/>
  <c r="E6" i="3" l="1"/>
  <c r="G187" i="2"/>
  <c r="F19" i="3" s="1"/>
  <c r="F61" i="3" l="1"/>
  <c r="F52" i="3"/>
  <c r="E15" i="3"/>
  <c r="E25" i="3" s="1"/>
  <c r="G15" i="2"/>
  <c r="F30" i="3" s="1"/>
  <c r="F9" i="2" l="1"/>
  <c r="E29" i="3"/>
  <c r="G12" i="2"/>
  <c r="F26" i="3"/>
  <c r="H15" i="2"/>
  <c r="G30" i="3" s="1"/>
  <c r="E45" i="3" l="1"/>
  <c r="E58" i="3" s="1"/>
  <c r="E49" i="3"/>
  <c r="E51" i="3" s="1"/>
  <c r="E60" i="3"/>
  <c r="E66" i="3" s="1"/>
  <c r="E46" i="3"/>
  <c r="H12" i="2"/>
  <c r="G26" i="3"/>
  <c r="H18" i="2"/>
  <c r="I187" i="2" s="1"/>
  <c r="G6" i="3" l="1"/>
  <c r="I15" i="2" l="1"/>
  <c r="H30" i="3" s="1"/>
  <c r="I12" i="2" l="1"/>
  <c r="H26" i="3"/>
  <c r="I18" i="2"/>
  <c r="J187" i="2" s="1"/>
  <c r="H6" i="3" l="1"/>
  <c r="H15" i="3" l="1"/>
  <c r="J15" i="2"/>
  <c r="I30" i="3" s="1"/>
  <c r="J12" i="2" l="1"/>
  <c r="I26" i="3"/>
  <c r="J18" i="2"/>
  <c r="K187" i="2" s="1"/>
  <c r="I6" i="3" l="1"/>
  <c r="I15" i="3" l="1"/>
  <c r="K15" i="2"/>
  <c r="J30" i="3" s="1"/>
  <c r="K12" i="2" l="1"/>
  <c r="J26" i="3"/>
  <c r="K18" i="2"/>
  <c r="L187" i="2" s="1"/>
  <c r="J6" i="3" l="1"/>
  <c r="J15" i="3" l="1"/>
  <c r="L15" i="2"/>
  <c r="K30" i="3" s="1"/>
  <c r="L12" i="2" l="1"/>
  <c r="K26" i="3"/>
  <c r="L18" i="2"/>
  <c r="M187" i="2" s="1"/>
  <c r="K6" i="3" l="1"/>
  <c r="M15" i="2" l="1"/>
  <c r="L30" i="3" s="1"/>
  <c r="M12" i="2" l="1"/>
  <c r="L26" i="3"/>
  <c r="M18" i="2"/>
  <c r="N187" i="2" s="1"/>
  <c r="L6" i="3" l="1"/>
  <c r="N15" i="2" l="1"/>
  <c r="M30" i="3" s="1"/>
  <c r="N12" i="2" l="1"/>
  <c r="M26" i="3"/>
  <c r="N18" i="2"/>
  <c r="O187" i="2" s="1"/>
  <c r="M6" i="3" l="1"/>
  <c r="O15" i="2" l="1"/>
  <c r="N30" i="3" s="1"/>
  <c r="O12" i="2" l="1"/>
  <c r="N26" i="3"/>
  <c r="O18" i="2"/>
  <c r="P187" i="2" s="1"/>
  <c r="N6" i="3" l="1"/>
  <c r="P15" i="2" l="1"/>
  <c r="O30" i="3" s="1"/>
  <c r="P12" i="2" l="1"/>
  <c r="O26" i="3"/>
  <c r="P18" i="2"/>
  <c r="Q187" i="2" s="1"/>
  <c r="O6" i="3" l="1"/>
  <c r="Q15" i="2" l="1"/>
  <c r="P30" i="3" s="1"/>
  <c r="Q12" i="2" l="1"/>
  <c r="P26" i="3"/>
  <c r="Q18" i="2"/>
  <c r="R187" i="2" s="1"/>
  <c r="P6" i="3" l="1"/>
  <c r="R15" i="2" l="1"/>
  <c r="Q30" i="3" s="1"/>
  <c r="R12" i="2" l="1"/>
  <c r="Q26" i="3"/>
  <c r="R18" i="2"/>
  <c r="S187" i="2" s="1"/>
  <c r="Q6" i="3" l="1"/>
  <c r="S15" i="2" l="1"/>
  <c r="R30" i="3" s="1"/>
  <c r="S12" i="2" l="1"/>
  <c r="R26" i="3"/>
  <c r="S18" i="2"/>
  <c r="T187" i="2" s="1"/>
  <c r="R6" i="3" l="1"/>
  <c r="T15" i="2" l="1"/>
  <c r="S30" i="3" s="1"/>
  <c r="T12" i="2" l="1"/>
  <c r="S26" i="3"/>
  <c r="T18" i="2"/>
  <c r="U187" i="2" s="1"/>
  <c r="S6" i="3" l="1"/>
  <c r="U15" i="2" l="1"/>
  <c r="T30" i="3" s="1"/>
  <c r="U12" i="2" l="1"/>
  <c r="T26" i="3"/>
  <c r="U18" i="2"/>
  <c r="V187" i="2" s="1"/>
  <c r="T6" i="3" l="1"/>
  <c r="V15" i="2" l="1"/>
  <c r="U30" i="3" s="1"/>
  <c r="V12" i="2" l="1"/>
  <c r="U26" i="3"/>
  <c r="V18" i="2"/>
  <c r="W187" i="2" s="1"/>
  <c r="U6" i="3" l="1"/>
  <c r="W15" i="2" l="1"/>
  <c r="V30" i="3" s="1"/>
  <c r="W12" i="2" l="1"/>
  <c r="V26" i="3"/>
  <c r="W18" i="2"/>
  <c r="X187" i="2" s="1"/>
  <c r="V6" i="3" l="1"/>
  <c r="X15" i="2" l="1"/>
  <c r="W30" i="3" s="1"/>
  <c r="X12" i="2" l="1"/>
  <c r="W26" i="3"/>
  <c r="X18" i="2"/>
  <c r="Y187" i="2" s="1"/>
  <c r="W6" i="3" l="1"/>
  <c r="Y15" i="2" l="1"/>
  <c r="X30" i="3" s="1"/>
  <c r="Y12" i="2" l="1"/>
  <c r="X26" i="3"/>
  <c r="Y18" i="2"/>
  <c r="Z187" i="2" s="1"/>
  <c r="X6" i="3" l="1"/>
  <c r="Z15" i="2" l="1"/>
  <c r="Y30" i="3" s="1"/>
  <c r="Z12" i="2" l="1"/>
  <c r="Y26" i="3"/>
  <c r="Z18" i="2"/>
  <c r="AA187" i="2" s="1"/>
  <c r="Y6" i="3" l="1"/>
  <c r="AA15" i="2" l="1"/>
  <c r="Z30" i="3" s="1"/>
  <c r="AA12" i="2" l="1"/>
  <c r="Z26" i="3"/>
  <c r="AA18" i="2"/>
  <c r="AB187" i="2" s="1"/>
  <c r="Z6" i="3" l="1"/>
  <c r="AB15" i="2" l="1"/>
  <c r="AA30" i="3" s="1"/>
  <c r="AB12" i="2" l="1"/>
  <c r="AA26" i="3"/>
  <c r="AB18" i="2"/>
  <c r="AC187" i="2" s="1"/>
  <c r="AA6" i="3" l="1"/>
  <c r="AC15" i="2" l="1"/>
  <c r="AB30" i="3" s="1"/>
  <c r="AC12" i="2" l="1"/>
  <c r="AB26" i="3"/>
  <c r="AC18" i="2"/>
  <c r="AD187" i="2" s="1"/>
  <c r="AB6" i="3" l="1"/>
  <c r="AD15" i="2" l="1"/>
  <c r="AC30" i="3" s="1"/>
  <c r="AD12" i="2" l="1"/>
  <c r="AC26" i="3"/>
  <c r="AD18" i="2"/>
  <c r="AE187" i="2" s="1"/>
  <c r="AC6" i="3" l="1"/>
  <c r="AE15" i="2" l="1"/>
  <c r="AD30" i="3" s="1"/>
  <c r="AE12" i="2" l="1"/>
  <c r="AD26" i="3"/>
  <c r="AE18" i="2"/>
  <c r="AF187" i="2" s="1"/>
  <c r="AD6" i="3" l="1"/>
  <c r="AF15" i="2" l="1"/>
  <c r="AE30" i="3" s="1"/>
  <c r="AF12" i="2" l="1"/>
  <c r="AE26" i="3"/>
  <c r="AF18" i="2"/>
  <c r="AG187" i="2" s="1"/>
  <c r="AE6" i="3" l="1"/>
  <c r="AG15" i="2" l="1"/>
  <c r="AF30" i="3" s="1"/>
  <c r="AG12" i="2" l="1"/>
  <c r="AF26" i="3"/>
  <c r="AG18" i="2"/>
  <c r="AH187" i="2" s="1"/>
  <c r="AF6" i="3" l="1"/>
  <c r="AH15" i="2" l="1"/>
  <c r="AG30" i="3" s="1"/>
  <c r="AH12" i="2" l="1"/>
  <c r="AG26" i="3"/>
  <c r="AH18" i="2"/>
  <c r="AI187" i="2" s="1"/>
  <c r="AG6" i="3" l="1"/>
  <c r="AI15" i="2" l="1"/>
  <c r="AH30" i="3" s="1"/>
  <c r="AI12" i="2" l="1"/>
  <c r="AH26" i="3"/>
  <c r="AI18" i="2"/>
  <c r="AJ187" i="2" s="1"/>
  <c r="AH6" i="3" l="1"/>
  <c r="AJ15" i="2" l="1"/>
  <c r="AI30" i="3" s="1"/>
  <c r="AJ12" i="2" l="1"/>
  <c r="AI26" i="3"/>
  <c r="AJ18" i="2"/>
  <c r="AK187" i="2" s="1"/>
  <c r="AI6" i="3" l="1"/>
  <c r="AK15" i="2" l="1"/>
  <c r="AL15" i="2" l="1"/>
  <c r="AL18" i="2" s="1"/>
  <c r="AK18" i="2"/>
  <c r="AJ30" i="3"/>
  <c r="G18" i="2"/>
  <c r="H187" i="2" s="1"/>
  <c r="G19" i="3" s="1"/>
  <c r="AK6" i="3" l="1"/>
  <c r="AM187" i="2"/>
  <c r="AJ6" i="3"/>
  <c r="AL187" i="2"/>
  <c r="AM15" i="2"/>
  <c r="AM18" i="2" s="1"/>
  <c r="AK30" i="3"/>
  <c r="G61" i="3"/>
  <c r="G52" i="3"/>
  <c r="F40" i="3"/>
  <c r="F62" i="3" s="1"/>
  <c r="H142" i="2"/>
  <c r="I143" i="2" s="1"/>
  <c r="G144" i="2"/>
  <c r="G172" i="2" s="1"/>
  <c r="AK12" i="2"/>
  <c r="AJ26" i="3"/>
  <c r="F6" i="3"/>
  <c r="AN15" i="2" l="1"/>
  <c r="AN18" i="2" s="1"/>
  <c r="AL30" i="3"/>
  <c r="AL6" i="3"/>
  <c r="AN187" i="2"/>
  <c r="AK26" i="3"/>
  <c r="AL12" i="2"/>
  <c r="F15" i="3"/>
  <c r="H19" i="3"/>
  <c r="J193" i="2"/>
  <c r="H144" i="2"/>
  <c r="H172" i="2" s="1"/>
  <c r="I142" i="2"/>
  <c r="J143" i="2" s="1"/>
  <c r="G40" i="3"/>
  <c r="G62" i="3" s="1"/>
  <c r="AL26" i="3" l="1"/>
  <c r="AM12" i="2"/>
  <c r="AM6" i="3"/>
  <c r="AO187" i="2"/>
  <c r="AM30" i="3"/>
  <c r="AO15" i="2"/>
  <c r="H52" i="3"/>
  <c r="H61" i="3"/>
  <c r="I19" i="3"/>
  <c r="K193" i="2"/>
  <c r="J142" i="2"/>
  <c r="K143" i="2" s="1"/>
  <c r="I144" i="2"/>
  <c r="I172" i="2" s="1"/>
  <c r="H40" i="3"/>
  <c r="H62" i="3" s="1"/>
  <c r="G15" i="3"/>
  <c r="G183" i="2"/>
  <c r="F18" i="3"/>
  <c r="AP15" i="2" l="1"/>
  <c r="AP18" i="2" s="1"/>
  <c r="AN30" i="3"/>
  <c r="AO18" i="2"/>
  <c r="AM26" i="3"/>
  <c r="AN12" i="2"/>
  <c r="I52" i="3"/>
  <c r="I61" i="3"/>
  <c r="F22" i="3"/>
  <c r="F23" i="3" s="1"/>
  <c r="F25" i="3" s="1"/>
  <c r="G8" i="2" s="1"/>
  <c r="J19" i="3"/>
  <c r="L193" i="2"/>
  <c r="K142" i="2"/>
  <c r="L143" i="2" s="1"/>
  <c r="M193" i="2" s="1"/>
  <c r="J144" i="2"/>
  <c r="J172" i="2" s="1"/>
  <c r="I40" i="3"/>
  <c r="I62" i="3" s="1"/>
  <c r="G18" i="3"/>
  <c r="H183" i="2"/>
  <c r="L74" i="2"/>
  <c r="M191" i="2" s="1"/>
  <c r="AN6" i="3" l="1"/>
  <c r="AP187" i="2"/>
  <c r="AO12" i="2"/>
  <c r="AN26" i="3"/>
  <c r="AO6" i="3"/>
  <c r="AQ187" i="2"/>
  <c r="AO30" i="3"/>
  <c r="AQ15" i="2"/>
  <c r="J52" i="3"/>
  <c r="J61" i="3"/>
  <c r="F51" i="3"/>
  <c r="F56" i="3" s="1"/>
  <c r="G22" i="3"/>
  <c r="G51" i="3" s="1"/>
  <c r="G56" i="3" s="1"/>
  <c r="K19" i="3"/>
  <c r="K144" i="2"/>
  <c r="K172" i="2" s="1"/>
  <c r="L142" i="2"/>
  <c r="M143" i="2" s="1"/>
  <c r="N193" i="2" s="1"/>
  <c r="J40" i="3"/>
  <c r="J62" i="3" s="1"/>
  <c r="K15" i="3"/>
  <c r="I183" i="2"/>
  <c r="H18" i="3"/>
  <c r="M74" i="2"/>
  <c r="N191" i="2" s="1"/>
  <c r="G9" i="2" l="1"/>
  <c r="F29" i="3"/>
  <c r="AO26" i="3"/>
  <c r="AP12" i="2"/>
  <c r="AP30" i="3"/>
  <c r="AR15" i="2"/>
  <c r="AQ30" i="3" s="1"/>
  <c r="AQ18" i="2"/>
  <c r="K52" i="3"/>
  <c r="K61" i="3"/>
  <c r="G23" i="3"/>
  <c r="G25" i="3" s="1"/>
  <c r="H22" i="3"/>
  <c r="H51" i="3" s="1"/>
  <c r="H56" i="3" s="1"/>
  <c r="L19" i="3"/>
  <c r="L144" i="2"/>
  <c r="L172" i="2" s="1"/>
  <c r="M142" i="2"/>
  <c r="N143" i="2" s="1"/>
  <c r="O193" i="2" s="1"/>
  <c r="K40" i="3"/>
  <c r="K62" i="3" s="1"/>
  <c r="J183" i="2"/>
  <c r="I18" i="3"/>
  <c r="H8" i="2" l="1"/>
  <c r="G29" i="3" s="1"/>
  <c r="F60" i="3"/>
  <c r="F66" i="3" s="1"/>
  <c r="F46" i="3"/>
  <c r="F49" i="3"/>
  <c r="F45" i="3"/>
  <c r="F58" i="3" s="1"/>
  <c r="AR18" i="2"/>
  <c r="AQ6" i="3" s="1"/>
  <c r="AP6" i="3"/>
  <c r="AR187" i="2"/>
  <c r="AQ26" i="3"/>
  <c r="AR12" i="2"/>
  <c r="AQ12" i="2"/>
  <c r="AP26" i="3"/>
  <c r="L52" i="3"/>
  <c r="L61" i="3"/>
  <c r="H23" i="3"/>
  <c r="H25" i="3" s="1"/>
  <c r="I22" i="3"/>
  <c r="I51" i="3" s="1"/>
  <c r="I56" i="3" s="1"/>
  <c r="M144" i="2"/>
  <c r="M172" i="2" s="1"/>
  <c r="N142" i="2"/>
  <c r="O143" i="2" s="1"/>
  <c r="P193" i="2" s="1"/>
  <c r="L40" i="3"/>
  <c r="K183" i="2"/>
  <c r="J18" i="3"/>
  <c r="I8" i="2" l="1"/>
  <c r="H29" i="3" s="1"/>
  <c r="H46" i="3" s="1"/>
  <c r="H9" i="2"/>
  <c r="G46" i="3"/>
  <c r="G60" i="3"/>
  <c r="G66" i="3" s="1"/>
  <c r="G45" i="3"/>
  <c r="G58" i="3" s="1"/>
  <c r="G49" i="3"/>
  <c r="I23" i="3"/>
  <c r="I25" i="3" s="1"/>
  <c r="J22" i="3"/>
  <c r="J51" i="3" s="1"/>
  <c r="J56" i="3" s="1"/>
  <c r="N144" i="2"/>
  <c r="N172" i="2" s="1"/>
  <c r="O142" i="2"/>
  <c r="P143" i="2" s="1"/>
  <c r="Q193" i="2" s="1"/>
  <c r="M40" i="3"/>
  <c r="O74" i="2"/>
  <c r="P191" i="2" s="1"/>
  <c r="N74" i="2"/>
  <c r="O191" i="2" s="1"/>
  <c r="K18" i="3"/>
  <c r="L183" i="2"/>
  <c r="H45" i="3" l="1"/>
  <c r="H58" i="3" s="1"/>
  <c r="I9" i="2"/>
  <c r="H60" i="3"/>
  <c r="H66" i="3" s="1"/>
  <c r="H49" i="3"/>
  <c r="J8" i="2"/>
  <c r="I29" i="3" s="1"/>
  <c r="I45" i="3" s="1"/>
  <c r="I58" i="3" s="1"/>
  <c r="K22" i="3"/>
  <c r="K51" i="3" s="1"/>
  <c r="K56" i="3" s="1"/>
  <c r="J23" i="3"/>
  <c r="J25" i="3" s="1"/>
  <c r="O144" i="2"/>
  <c r="O172" i="2" s="1"/>
  <c r="P142" i="2"/>
  <c r="Q143" i="2" s="1"/>
  <c r="R193" i="2" s="1"/>
  <c r="N40" i="3"/>
  <c r="P74" i="2"/>
  <c r="Q191" i="2" s="1"/>
  <c r="M183" i="2"/>
  <c r="Q74" i="2"/>
  <c r="R191" i="2" s="1"/>
  <c r="I49" i="3" l="1"/>
  <c r="K8" i="2"/>
  <c r="J29" i="3" s="1"/>
  <c r="J49" i="3" s="1"/>
  <c r="I46" i="3"/>
  <c r="J9" i="2"/>
  <c r="I60" i="3"/>
  <c r="I66" i="3" s="1"/>
  <c r="K23" i="3"/>
  <c r="K25" i="3" s="1"/>
  <c r="P144" i="2"/>
  <c r="P172" i="2" s="1"/>
  <c r="Q142" i="2"/>
  <c r="R143" i="2" s="1"/>
  <c r="S193" i="2" s="1"/>
  <c r="O40" i="3"/>
  <c r="M18" i="3"/>
  <c r="L18" i="3"/>
  <c r="R74" i="2"/>
  <c r="S191" i="2" s="1"/>
  <c r="J46" i="3" l="1"/>
  <c r="L8" i="2"/>
  <c r="K29" i="3" s="1"/>
  <c r="K46" i="3" s="1"/>
  <c r="J60" i="3"/>
  <c r="J66" i="3" s="1"/>
  <c r="J45" i="3"/>
  <c r="J58" i="3" s="1"/>
  <c r="K9" i="2"/>
  <c r="M22" i="3"/>
  <c r="L22" i="3"/>
  <c r="L23" i="3" s="1"/>
  <c r="Q144" i="2"/>
  <c r="Q172" i="2" s="1"/>
  <c r="R142" i="2"/>
  <c r="S143" i="2" s="1"/>
  <c r="T193" i="2" s="1"/>
  <c r="P40" i="3"/>
  <c r="N183" i="2"/>
  <c r="N18" i="3"/>
  <c r="O183" i="2"/>
  <c r="S74" i="2"/>
  <c r="T191" i="2" s="1"/>
  <c r="K60" i="3" l="1"/>
  <c r="K66" i="3" s="1"/>
  <c r="K49" i="3"/>
  <c r="L9" i="2"/>
  <c r="K45" i="3"/>
  <c r="K58" i="3" s="1"/>
  <c r="L51" i="3"/>
  <c r="L56" i="3" s="1"/>
  <c r="N22" i="3"/>
  <c r="S142" i="2"/>
  <c r="T143" i="2" s="1"/>
  <c r="U193" i="2" s="1"/>
  <c r="R144" i="2"/>
  <c r="R172" i="2" s="1"/>
  <c r="Q40" i="3"/>
  <c r="T74" i="2"/>
  <c r="U191" i="2" s="1"/>
  <c r="O18" i="3"/>
  <c r="P183" i="2"/>
  <c r="O22" i="3" l="1"/>
  <c r="T142" i="2"/>
  <c r="U143" i="2" s="1"/>
  <c r="V193" i="2" s="1"/>
  <c r="S144" i="2"/>
  <c r="S172" i="2" s="1"/>
  <c r="R40" i="3"/>
  <c r="Q183" i="2"/>
  <c r="P18" i="3"/>
  <c r="U74" i="2"/>
  <c r="V191" i="2" s="1"/>
  <c r="P22" i="3" l="1"/>
  <c r="T144" i="2"/>
  <c r="T172" i="2" s="1"/>
  <c r="U142" i="2"/>
  <c r="V143" i="2" s="1"/>
  <c r="W193" i="2" s="1"/>
  <c r="S40" i="3"/>
  <c r="V74" i="2"/>
  <c r="W191" i="2" s="1"/>
  <c r="R183" i="2"/>
  <c r="Q18" i="3"/>
  <c r="Q22" i="3" l="1"/>
  <c r="U144" i="2"/>
  <c r="U172" i="2" s="1"/>
  <c r="V142" i="2"/>
  <c r="W143" i="2" s="1"/>
  <c r="X193" i="2" s="1"/>
  <c r="T40" i="3"/>
  <c r="S183" i="2"/>
  <c r="R18" i="3"/>
  <c r="W74" i="2"/>
  <c r="X191" i="2" s="1"/>
  <c r="R22" i="3" l="1"/>
  <c r="V144" i="2"/>
  <c r="V172" i="2" s="1"/>
  <c r="W142" i="2"/>
  <c r="X143" i="2" s="1"/>
  <c r="Y193" i="2" s="1"/>
  <c r="U40" i="3"/>
  <c r="X74" i="2"/>
  <c r="Y191" i="2" s="1"/>
  <c r="T183" i="2"/>
  <c r="S18" i="3"/>
  <c r="S22" i="3" l="1"/>
  <c r="X142" i="2"/>
  <c r="Y143" i="2" s="1"/>
  <c r="Z193" i="2" s="1"/>
  <c r="W144" i="2"/>
  <c r="W172" i="2" s="1"/>
  <c r="V40" i="3"/>
  <c r="U183" i="2"/>
  <c r="T18" i="3"/>
  <c r="Y74" i="2"/>
  <c r="Z191" i="2" s="1"/>
  <c r="T22" i="3" l="1"/>
  <c r="Y142" i="2"/>
  <c r="Z143" i="2" s="1"/>
  <c r="AA193" i="2" s="1"/>
  <c r="X144" i="2"/>
  <c r="X172" i="2" s="1"/>
  <c r="W40" i="3"/>
  <c r="Z74" i="2"/>
  <c r="AA191" i="2" s="1"/>
  <c r="U18" i="3"/>
  <c r="V183" i="2"/>
  <c r="U22" i="3" l="1"/>
  <c r="Z142" i="2"/>
  <c r="AA143" i="2" s="1"/>
  <c r="AB193" i="2" s="1"/>
  <c r="Y144" i="2"/>
  <c r="Y172" i="2" s="1"/>
  <c r="X40" i="3"/>
  <c r="W183" i="2"/>
  <c r="V18" i="3"/>
  <c r="AA74" i="2"/>
  <c r="AB191" i="2" s="1"/>
  <c r="V22" i="3" l="1"/>
  <c r="AA142" i="2"/>
  <c r="AB143" i="2" s="1"/>
  <c r="AC193" i="2" s="1"/>
  <c r="Z144" i="2"/>
  <c r="Z172" i="2" s="1"/>
  <c r="Y40" i="3"/>
  <c r="W18" i="3"/>
  <c r="X183" i="2"/>
  <c r="AB74" i="2"/>
  <c r="AC191" i="2" s="1"/>
  <c r="W22" i="3" l="1"/>
  <c r="AB142" i="2"/>
  <c r="AC143" i="2" s="1"/>
  <c r="AD193" i="2" s="1"/>
  <c r="AA144" i="2"/>
  <c r="AA172" i="2" s="1"/>
  <c r="Z40" i="3"/>
  <c r="Y183" i="2"/>
  <c r="X18" i="3"/>
  <c r="AC74" i="2"/>
  <c r="AD191" i="2" s="1"/>
  <c r="X22" i="3" l="1"/>
  <c r="AB144" i="2"/>
  <c r="AB172" i="2" s="1"/>
  <c r="AC142" i="2"/>
  <c r="AD143" i="2" s="1"/>
  <c r="AE193" i="2" s="1"/>
  <c r="AA40" i="3"/>
  <c r="AD74" i="2"/>
  <c r="AE191" i="2" s="1"/>
  <c r="Y18" i="3"/>
  <c r="Z183" i="2"/>
  <c r="Y22" i="3" l="1"/>
  <c r="AC144" i="2"/>
  <c r="AC172" i="2" s="1"/>
  <c r="AD142" i="2"/>
  <c r="AE143" i="2" s="1"/>
  <c r="AF193" i="2" s="1"/>
  <c r="AB40" i="3"/>
  <c r="AA183" i="2"/>
  <c r="Z18" i="3"/>
  <c r="AE74" i="2"/>
  <c r="AF191" i="2" s="1"/>
  <c r="Z22" i="3" l="1"/>
  <c r="AD144" i="2"/>
  <c r="AD172" i="2" s="1"/>
  <c r="AE142" i="2"/>
  <c r="AF143" i="2" s="1"/>
  <c r="AG193" i="2" s="1"/>
  <c r="AC40" i="3"/>
  <c r="AF74" i="2"/>
  <c r="AG191" i="2" s="1"/>
  <c r="AB183" i="2"/>
  <c r="AA18" i="3"/>
  <c r="AA22" i="3" l="1"/>
  <c r="AE144" i="2"/>
  <c r="AE172" i="2" s="1"/>
  <c r="AF142" i="2"/>
  <c r="AG143" i="2" s="1"/>
  <c r="AH193" i="2" s="1"/>
  <c r="AD40" i="3"/>
  <c r="AG74" i="2"/>
  <c r="AH191" i="2" s="1"/>
  <c r="AB18" i="3"/>
  <c r="AC183" i="2"/>
  <c r="AB22" i="3" l="1"/>
  <c r="AF144" i="2"/>
  <c r="AF172" i="2" s="1"/>
  <c r="AG142" i="2"/>
  <c r="AH143" i="2" s="1"/>
  <c r="AI193" i="2" s="1"/>
  <c r="AE40" i="3"/>
  <c r="AC18" i="3"/>
  <c r="AD183" i="2"/>
  <c r="AH74" i="2"/>
  <c r="AI191" i="2" s="1"/>
  <c r="AC22" i="3" l="1"/>
  <c r="AG144" i="2"/>
  <c r="AG172" i="2" s="1"/>
  <c r="AH142" i="2"/>
  <c r="AI143" i="2" s="1"/>
  <c r="AJ193" i="2" s="1"/>
  <c r="AF40" i="3"/>
  <c r="AD18" i="3"/>
  <c r="AE183" i="2"/>
  <c r="AI74" i="2"/>
  <c r="AJ191" i="2" s="1"/>
  <c r="AD22" i="3" l="1"/>
  <c r="AI142" i="2"/>
  <c r="AJ143" i="2" s="1"/>
  <c r="AK193" i="2" s="1"/>
  <c r="AH144" i="2"/>
  <c r="AH172" i="2" s="1"/>
  <c r="AG40" i="3"/>
  <c r="AJ74" i="2"/>
  <c r="AK191" i="2" s="1"/>
  <c r="AF183" i="2"/>
  <c r="AE18" i="3"/>
  <c r="AE22" i="3" l="1"/>
  <c r="AJ142" i="2"/>
  <c r="AK143" i="2" s="1"/>
  <c r="AL193" i="2" s="1"/>
  <c r="AI144" i="2"/>
  <c r="AI172" i="2" s="1"/>
  <c r="AH40" i="3"/>
  <c r="AG183" i="2"/>
  <c r="AF18" i="3"/>
  <c r="AK74" i="2"/>
  <c r="AL191" i="2" s="1"/>
  <c r="AF22" i="3" l="1"/>
  <c r="AJ144" i="2"/>
  <c r="AJ172" i="2" s="1"/>
  <c r="AK142" i="2"/>
  <c r="AL143" i="2" s="1"/>
  <c r="AM193" i="2" s="1"/>
  <c r="AI40" i="3"/>
  <c r="AG18" i="3"/>
  <c r="AH183" i="2"/>
  <c r="AG22" i="3" l="1"/>
  <c r="AJ40" i="3"/>
  <c r="AK144" i="2"/>
  <c r="AK172" i="2" s="1"/>
  <c r="AH18" i="3"/>
  <c r="AI183" i="2"/>
  <c r="AH22" i="3" l="1"/>
  <c r="AJ183" i="2"/>
  <c r="AI18" i="3"/>
  <c r="AI22" i="3" l="1"/>
  <c r="AK183" i="2"/>
  <c r="AJ18" i="3"/>
  <c r="AJ22" i="3" l="1"/>
  <c r="L35" i="3"/>
  <c r="L62" i="3" s="1"/>
  <c r="N55" i="2"/>
  <c r="O190" i="2" s="1"/>
  <c r="N53" i="2"/>
  <c r="O54" i="2" s="1"/>
  <c r="M55" i="2"/>
  <c r="N50" i="2"/>
  <c r="N190" i="2" l="1"/>
  <c r="M19" i="3" s="1"/>
  <c r="M10" i="3"/>
  <c r="M15" i="3" s="1"/>
  <c r="N19" i="3"/>
  <c r="N49" i="2"/>
  <c r="O49" i="2" s="1"/>
  <c r="P55" i="2" s="1"/>
  <c r="L10" i="3"/>
  <c r="L15" i="3" s="1"/>
  <c r="L25" i="3" s="1"/>
  <c r="M8" i="2" s="1"/>
  <c r="N52" i="3" l="1"/>
  <c r="N51" i="3" s="1"/>
  <c r="N56" i="3" s="1"/>
  <c r="N61" i="3"/>
  <c r="M61" i="3"/>
  <c r="M52" i="3"/>
  <c r="M51" i="3" s="1"/>
  <c r="M56" i="3" s="1"/>
  <c r="N23" i="3"/>
  <c r="M23" i="3"/>
  <c r="M25" i="3" s="1"/>
  <c r="N8" i="2" s="1"/>
  <c r="O10" i="3"/>
  <c r="O15" i="3" s="1"/>
  <c r="O50" i="2"/>
  <c r="O55" i="2"/>
  <c r="P190" i="2" s="1"/>
  <c r="N35" i="3"/>
  <c r="P53" i="2"/>
  <c r="Q54" i="2" s="1"/>
  <c r="M35" i="3"/>
  <c r="M62" i="3" s="1"/>
  <c r="P50" i="2"/>
  <c r="O53" i="2"/>
  <c r="P54" i="2" s="1"/>
  <c r="L29" i="3"/>
  <c r="M9" i="2"/>
  <c r="L49" i="3" l="1"/>
  <c r="L60" i="3"/>
  <c r="L66" i="3" s="1"/>
  <c r="N62" i="3"/>
  <c r="P49" i="2"/>
  <c r="Q55" i="2" s="1"/>
  <c r="R190" i="2" s="1"/>
  <c r="Q19" i="3" s="1"/>
  <c r="Q190" i="2"/>
  <c r="P19" i="3" s="1"/>
  <c r="N10" i="3"/>
  <c r="N15" i="3" s="1"/>
  <c r="N25" i="3" s="1"/>
  <c r="O8" i="2" s="1"/>
  <c r="O19" i="3"/>
  <c r="M29" i="3"/>
  <c r="M49" i="3" s="1"/>
  <c r="N9" i="2"/>
  <c r="L46" i="3"/>
  <c r="L45" i="3"/>
  <c r="L58" i="3" s="1"/>
  <c r="M60" i="3" l="1"/>
  <c r="M66" i="3" s="1"/>
  <c r="P52" i="3"/>
  <c r="P51" i="3" s="1"/>
  <c r="P56" i="3" s="1"/>
  <c r="P61" i="3"/>
  <c r="O52" i="3"/>
  <c r="O51" i="3" s="1"/>
  <c r="O56" i="3" s="1"/>
  <c r="O61" i="3"/>
  <c r="Q52" i="3"/>
  <c r="Q51" i="3" s="1"/>
  <c r="Q56" i="3" s="1"/>
  <c r="Q61" i="3"/>
  <c r="Q23" i="3"/>
  <c r="P23" i="3"/>
  <c r="Q50" i="2"/>
  <c r="Q49" i="2"/>
  <c r="R50" i="2" s="1"/>
  <c r="P10" i="3"/>
  <c r="P15" i="3" s="1"/>
  <c r="O35" i="3"/>
  <c r="O62" i="3" s="1"/>
  <c r="Q53" i="2"/>
  <c r="R54" i="2" s="1"/>
  <c r="O23" i="3"/>
  <c r="O25" i="3" s="1"/>
  <c r="P8" i="2" s="1"/>
  <c r="N29" i="3"/>
  <c r="O9" i="2"/>
  <c r="M46" i="3"/>
  <c r="M45" i="3"/>
  <c r="M58" i="3" s="1"/>
  <c r="N60" i="3" l="1"/>
  <c r="N66" i="3" s="1"/>
  <c r="N49" i="3"/>
  <c r="P25" i="3"/>
  <c r="Q8" i="2" s="1"/>
  <c r="P35" i="3"/>
  <c r="P62" i="3" s="1"/>
  <c r="R53" i="2"/>
  <c r="S54" i="2" s="1"/>
  <c r="R55" i="2"/>
  <c r="Q10" i="3" s="1"/>
  <c r="Q15" i="3" s="1"/>
  <c r="Q25" i="3" s="1"/>
  <c r="R49" i="2"/>
  <c r="P9" i="2"/>
  <c r="O29" i="3"/>
  <c r="N46" i="3"/>
  <c r="N45" i="3"/>
  <c r="N58" i="3" s="1"/>
  <c r="S190" i="2" l="1"/>
  <c r="R19" i="3" s="1"/>
  <c r="R52" i="3" s="1"/>
  <c r="R51" i="3" s="1"/>
  <c r="R56" i="3" s="1"/>
  <c r="O60" i="3"/>
  <c r="O66" i="3" s="1"/>
  <c r="O49" i="3"/>
  <c r="Q35" i="3"/>
  <c r="Q62" i="3" s="1"/>
  <c r="S49" i="2"/>
  <c r="S53" i="2"/>
  <c r="T54" i="2" s="1"/>
  <c r="S50" i="2"/>
  <c r="S55" i="2"/>
  <c r="Q9" i="2"/>
  <c r="P29" i="3"/>
  <c r="R8" i="2"/>
  <c r="O46" i="3"/>
  <c r="O45" i="3"/>
  <c r="O58" i="3" s="1"/>
  <c r="R23" i="3" l="1"/>
  <c r="R61" i="3"/>
  <c r="P49" i="3"/>
  <c r="P60" i="3"/>
  <c r="P66" i="3" s="1"/>
  <c r="T190" i="2"/>
  <c r="S19" i="3" s="1"/>
  <c r="R10" i="3"/>
  <c r="R15" i="3" s="1"/>
  <c r="T50" i="2"/>
  <c r="T55" i="2"/>
  <c r="R35" i="3"/>
  <c r="R62" i="3" s="1"/>
  <c r="T49" i="2"/>
  <c r="T53" i="2"/>
  <c r="U54" i="2" s="1"/>
  <c r="P46" i="3"/>
  <c r="P45" i="3"/>
  <c r="P58" i="3" s="1"/>
  <c r="R9" i="2"/>
  <c r="Q29" i="3"/>
  <c r="R25" i="3" l="1"/>
  <c r="S8" i="2" s="1"/>
  <c r="R29" i="3" s="1"/>
  <c r="Q49" i="3"/>
  <c r="Q60" i="3"/>
  <c r="Q66" i="3" s="1"/>
  <c r="S52" i="3"/>
  <c r="S51" i="3" s="1"/>
  <c r="S56" i="3" s="1"/>
  <c r="S61" i="3"/>
  <c r="S23" i="3"/>
  <c r="U50" i="2"/>
  <c r="S35" i="3"/>
  <c r="S62" i="3" s="1"/>
  <c r="U49" i="2"/>
  <c r="U53" i="2"/>
  <c r="V54" i="2" s="1"/>
  <c r="U55" i="2"/>
  <c r="U190" i="2"/>
  <c r="T19" i="3" s="1"/>
  <c r="S10" i="3"/>
  <c r="S15" i="3" s="1"/>
  <c r="Q46" i="3"/>
  <c r="Q45" i="3"/>
  <c r="Q58" i="3" s="1"/>
  <c r="S9" i="2" l="1"/>
  <c r="S25" i="3"/>
  <c r="T8" i="2" s="1"/>
  <c r="S29" i="3" s="1"/>
  <c r="S49" i="3" s="1"/>
  <c r="R60" i="3"/>
  <c r="R66" i="3" s="1"/>
  <c r="R49" i="3"/>
  <c r="T52" i="3"/>
  <c r="T51" i="3" s="1"/>
  <c r="T56" i="3" s="1"/>
  <c r="T61" i="3"/>
  <c r="T23" i="3"/>
  <c r="V53" i="2"/>
  <c r="W54" i="2" s="1"/>
  <c r="V55" i="2"/>
  <c r="V50" i="2"/>
  <c r="T35" i="3"/>
  <c r="T62" i="3" s="1"/>
  <c r="V49" i="2"/>
  <c r="V190" i="2"/>
  <c r="U19" i="3" s="1"/>
  <c r="T10" i="3"/>
  <c r="T15" i="3" s="1"/>
  <c r="R46" i="3"/>
  <c r="R45" i="3"/>
  <c r="R58" i="3" s="1"/>
  <c r="T9" i="2" l="1"/>
  <c r="T25" i="3"/>
  <c r="U8" i="2" s="1"/>
  <c r="T29" i="3" s="1"/>
  <c r="S60" i="3"/>
  <c r="S66" i="3" s="1"/>
  <c r="U61" i="3"/>
  <c r="U52" i="3"/>
  <c r="U51" i="3" s="1"/>
  <c r="U56" i="3" s="1"/>
  <c r="U23" i="3"/>
  <c r="W53" i="2"/>
  <c r="X54" i="2" s="1"/>
  <c r="W55" i="2"/>
  <c r="U35" i="3"/>
  <c r="U62" i="3" s="1"/>
  <c r="W50" i="2"/>
  <c r="W49" i="2"/>
  <c r="W190" i="2"/>
  <c r="V19" i="3" s="1"/>
  <c r="U10" i="3"/>
  <c r="U15" i="3" s="1"/>
  <c r="S46" i="3"/>
  <c r="S45" i="3"/>
  <c r="S58" i="3" s="1"/>
  <c r="U9" i="2" l="1"/>
  <c r="T49" i="3"/>
  <c r="T60" i="3"/>
  <c r="T66" i="3" s="1"/>
  <c r="U25" i="3"/>
  <c r="V8" i="2" s="1"/>
  <c r="V9" i="2" s="1"/>
  <c r="V52" i="3"/>
  <c r="V51" i="3" s="1"/>
  <c r="V56" i="3" s="1"/>
  <c r="V61" i="3"/>
  <c r="V23" i="3"/>
  <c r="X53" i="2"/>
  <c r="Y54" i="2" s="1"/>
  <c r="X55" i="2"/>
  <c r="V35" i="3"/>
  <c r="V62" i="3" s="1"/>
  <c r="X49" i="2"/>
  <c r="X50" i="2"/>
  <c r="X190" i="2"/>
  <c r="W19" i="3" s="1"/>
  <c r="V10" i="3"/>
  <c r="V15" i="3" s="1"/>
  <c r="T46" i="3"/>
  <c r="T45" i="3"/>
  <c r="T58" i="3" s="1"/>
  <c r="U29" i="3" l="1"/>
  <c r="U49" i="3" s="1"/>
  <c r="V25" i="3"/>
  <c r="W8" i="2" s="1"/>
  <c r="W9" i="2" s="1"/>
  <c r="W52" i="3"/>
  <c r="W51" i="3" s="1"/>
  <c r="W56" i="3" s="1"/>
  <c r="W61" i="3"/>
  <c r="W23" i="3"/>
  <c r="Y53" i="2"/>
  <c r="Z54" i="2" s="1"/>
  <c r="Y55" i="2"/>
  <c r="W35" i="3"/>
  <c r="W62" i="3" s="1"/>
  <c r="Y49" i="2"/>
  <c r="Y50" i="2"/>
  <c r="Y190" i="2"/>
  <c r="X19" i="3" s="1"/>
  <c r="W10" i="3"/>
  <c r="W15" i="3" s="1"/>
  <c r="V29" i="3" l="1"/>
  <c r="V46" i="3" s="1"/>
  <c r="U46" i="3"/>
  <c r="U45" i="3"/>
  <c r="U58" i="3" s="1"/>
  <c r="U60" i="3"/>
  <c r="U66" i="3" s="1"/>
  <c r="W25" i="3"/>
  <c r="X8" i="2" s="1"/>
  <c r="W29" i="3" s="1"/>
  <c r="X52" i="3"/>
  <c r="X51" i="3" s="1"/>
  <c r="X56" i="3" s="1"/>
  <c r="X61" i="3"/>
  <c r="X23" i="3"/>
  <c r="Z190" i="2"/>
  <c r="Y19" i="3" s="1"/>
  <c r="X10" i="3"/>
  <c r="X15" i="3" s="1"/>
  <c r="Z53" i="2"/>
  <c r="AA54" i="2" s="1"/>
  <c r="Z55" i="2"/>
  <c r="X35" i="3"/>
  <c r="X62" i="3" s="1"/>
  <c r="Z50" i="2"/>
  <c r="Z49" i="2"/>
  <c r="V49" i="3" l="1"/>
  <c r="V60" i="3"/>
  <c r="V66" i="3" s="1"/>
  <c r="V45" i="3"/>
  <c r="V58" i="3" s="1"/>
  <c r="X9" i="2"/>
  <c r="X25" i="3"/>
  <c r="Y8" i="2" s="1"/>
  <c r="X29" i="3" s="1"/>
  <c r="W60" i="3"/>
  <c r="W66" i="3" s="1"/>
  <c r="W49" i="3"/>
  <c r="Y52" i="3"/>
  <c r="Y51" i="3" s="1"/>
  <c r="Y56" i="3" s="1"/>
  <c r="Y61" i="3"/>
  <c r="Y23" i="3"/>
  <c r="AA190" i="2"/>
  <c r="Z19" i="3" s="1"/>
  <c r="Y10" i="3"/>
  <c r="Y15" i="3" s="1"/>
  <c r="AA50" i="2"/>
  <c r="AA53" i="2"/>
  <c r="AB54" i="2" s="1"/>
  <c r="AA49" i="2"/>
  <c r="AA55" i="2"/>
  <c r="Y35" i="3"/>
  <c r="Y62" i="3" s="1"/>
  <c r="W46" i="3"/>
  <c r="W45" i="3"/>
  <c r="W58" i="3" l="1"/>
  <c r="Y9" i="2"/>
  <c r="Y25" i="3"/>
  <c r="Z8" i="2" s="1"/>
  <c r="Y29" i="3" s="1"/>
  <c r="Y49" i="3" s="1"/>
  <c r="Z52" i="3"/>
  <c r="Z51" i="3" s="1"/>
  <c r="Z56" i="3" s="1"/>
  <c r="Z61" i="3"/>
  <c r="X49" i="3"/>
  <c r="X60" i="3"/>
  <c r="X66" i="3" s="1"/>
  <c r="Z23" i="3"/>
  <c r="AB190" i="2"/>
  <c r="AA19" i="3" s="1"/>
  <c r="Z10" i="3"/>
  <c r="Z15" i="3" s="1"/>
  <c r="AB55" i="2"/>
  <c r="AB50" i="2"/>
  <c r="Z35" i="3"/>
  <c r="Z62" i="3" s="1"/>
  <c r="AB49" i="2"/>
  <c r="AB53" i="2"/>
  <c r="AC54" i="2" s="1"/>
  <c r="X46" i="3"/>
  <c r="X45" i="3"/>
  <c r="X58" i="3" s="1"/>
  <c r="Z9" i="2" l="1"/>
  <c r="Z25" i="3"/>
  <c r="AA8" i="2" s="1"/>
  <c r="Z29" i="3" s="1"/>
  <c r="Y60" i="3"/>
  <c r="Y66" i="3" s="1"/>
  <c r="AA52" i="3"/>
  <c r="AA51" i="3" s="1"/>
  <c r="AA56" i="3" s="1"/>
  <c r="AA61" i="3"/>
  <c r="AA23" i="3"/>
  <c r="AC55" i="2"/>
  <c r="AC50" i="2"/>
  <c r="AA35" i="3"/>
  <c r="AA62" i="3" s="1"/>
  <c r="AC49" i="2"/>
  <c r="AC53" i="2"/>
  <c r="AD54" i="2" s="1"/>
  <c r="AC190" i="2"/>
  <c r="AB19" i="3" s="1"/>
  <c r="AA10" i="3"/>
  <c r="AA15" i="3" s="1"/>
  <c r="Y46" i="3"/>
  <c r="Y45" i="3"/>
  <c r="Y58" i="3" s="1"/>
  <c r="AA9" i="2" l="1"/>
  <c r="AA25" i="3"/>
  <c r="AB8" i="2" s="1"/>
  <c r="AA29" i="3" s="1"/>
  <c r="Z49" i="3"/>
  <c r="Z60" i="3"/>
  <c r="Z66" i="3" s="1"/>
  <c r="AB52" i="3"/>
  <c r="AB51" i="3" s="1"/>
  <c r="AB56" i="3" s="1"/>
  <c r="AB61" i="3"/>
  <c r="AB23" i="3"/>
  <c r="AD50" i="2"/>
  <c r="AD55" i="2"/>
  <c r="AD49" i="2"/>
  <c r="AB35" i="3"/>
  <c r="AB62" i="3" s="1"/>
  <c r="AD53" i="2"/>
  <c r="AE54" i="2" s="1"/>
  <c r="AD190" i="2"/>
  <c r="AC19" i="3" s="1"/>
  <c r="AB10" i="3"/>
  <c r="AB15" i="3" s="1"/>
  <c r="Z46" i="3"/>
  <c r="Z45" i="3"/>
  <c r="Z58" i="3" s="1"/>
  <c r="AB9" i="2" l="1"/>
  <c r="AA49" i="3"/>
  <c r="AA60" i="3"/>
  <c r="AA66" i="3" s="1"/>
  <c r="AB25" i="3"/>
  <c r="AC8" i="2" s="1"/>
  <c r="AB29" i="3" s="1"/>
  <c r="AC61" i="3"/>
  <c r="AC52" i="3"/>
  <c r="AC51" i="3" s="1"/>
  <c r="AC56" i="3" s="1"/>
  <c r="AC23" i="3"/>
  <c r="AE190" i="2"/>
  <c r="AD19" i="3" s="1"/>
  <c r="AC10" i="3"/>
  <c r="AC15" i="3" s="1"/>
  <c r="AE55" i="2"/>
  <c r="AE50" i="2"/>
  <c r="AC35" i="3"/>
  <c r="AC62" i="3" s="1"/>
  <c r="AE49" i="2"/>
  <c r="AE53" i="2"/>
  <c r="AF54" i="2" s="1"/>
  <c r="AA46" i="3"/>
  <c r="AA45" i="3"/>
  <c r="AA58" i="3" s="1"/>
  <c r="AC25" i="3" l="1"/>
  <c r="AD8" i="2" s="1"/>
  <c r="AC29" i="3" s="1"/>
  <c r="AC49" i="3" s="1"/>
  <c r="AC9" i="2"/>
  <c r="AB60" i="3"/>
  <c r="AB66" i="3" s="1"/>
  <c r="AB49" i="3"/>
  <c r="AD52" i="3"/>
  <c r="AD51" i="3" s="1"/>
  <c r="AD56" i="3" s="1"/>
  <c r="AD61" i="3"/>
  <c r="AD23" i="3"/>
  <c r="AF190" i="2"/>
  <c r="AE19" i="3" s="1"/>
  <c r="AD10" i="3"/>
  <c r="AD15" i="3" s="1"/>
  <c r="AF50" i="2"/>
  <c r="AF55" i="2"/>
  <c r="AD35" i="3"/>
  <c r="AD62" i="3" s="1"/>
  <c r="AF49" i="2"/>
  <c r="AF53" i="2"/>
  <c r="AG54" i="2" s="1"/>
  <c r="AB46" i="3"/>
  <c r="AB45" i="3"/>
  <c r="AB58" i="3" s="1"/>
  <c r="AD9" i="2" l="1"/>
  <c r="AD25" i="3"/>
  <c r="AE8" i="2" s="1"/>
  <c r="AD29" i="3" s="1"/>
  <c r="AE61" i="3"/>
  <c r="AE52" i="3"/>
  <c r="AE51" i="3" s="1"/>
  <c r="AE56" i="3" s="1"/>
  <c r="AC60" i="3"/>
  <c r="AC66" i="3" s="1"/>
  <c r="AE23" i="3"/>
  <c r="AE35" i="3"/>
  <c r="AE62" i="3" s="1"/>
  <c r="AG55" i="2"/>
  <c r="AG53" i="2"/>
  <c r="AH54" i="2" s="1"/>
  <c r="AG49" i="2"/>
  <c r="AG50" i="2"/>
  <c r="AG190" i="2"/>
  <c r="AF19" i="3" s="1"/>
  <c r="AE10" i="3"/>
  <c r="AE15" i="3" s="1"/>
  <c r="AC46" i="3"/>
  <c r="AC45" i="3"/>
  <c r="AC58" i="3" s="1"/>
  <c r="AE9" i="2" l="1"/>
  <c r="AD60" i="3"/>
  <c r="AD66" i="3" s="1"/>
  <c r="AD49" i="3"/>
  <c r="AF61" i="3"/>
  <c r="AF52" i="3"/>
  <c r="AF51" i="3" s="1"/>
  <c r="AF56" i="3" s="1"/>
  <c r="AE25" i="3"/>
  <c r="AF8" i="2" s="1"/>
  <c r="AF9" i="2" s="1"/>
  <c r="AF23" i="3"/>
  <c r="AF35" i="3"/>
  <c r="AF62" i="3" s="1"/>
  <c r="AH55" i="2"/>
  <c r="AH49" i="2"/>
  <c r="AH53" i="2"/>
  <c r="AI54" i="2" s="1"/>
  <c r="AH50" i="2"/>
  <c r="AH190" i="2"/>
  <c r="AG19" i="3" s="1"/>
  <c r="AF10" i="3"/>
  <c r="AF15" i="3" s="1"/>
  <c r="AD46" i="3"/>
  <c r="AD45" i="3"/>
  <c r="AD58" i="3" s="1"/>
  <c r="AE29" i="3" l="1"/>
  <c r="AE60" i="3" s="1"/>
  <c r="AE66" i="3" s="1"/>
  <c r="AF25" i="3"/>
  <c r="AG8" i="2" s="1"/>
  <c r="AG9" i="2" s="1"/>
  <c r="AG61" i="3"/>
  <c r="AG52" i="3"/>
  <c r="AG51" i="3" s="1"/>
  <c r="AG56" i="3" s="1"/>
  <c r="AG23" i="3"/>
  <c r="AI190" i="2"/>
  <c r="AH19" i="3" s="1"/>
  <c r="AG10" i="3"/>
  <c r="AG15" i="3" s="1"/>
  <c r="AI49" i="2"/>
  <c r="AI55" i="2"/>
  <c r="AI53" i="2"/>
  <c r="AJ54" i="2" s="1"/>
  <c r="AG35" i="3"/>
  <c r="AG62" i="3" s="1"/>
  <c r="AI50" i="2"/>
  <c r="AE46" i="3" l="1"/>
  <c r="AE45" i="3"/>
  <c r="AE58" i="3" s="1"/>
  <c r="AE49" i="3"/>
  <c r="AF29" i="3"/>
  <c r="AF49" i="3" s="1"/>
  <c r="AG25" i="3"/>
  <c r="AH8" i="2" s="1"/>
  <c r="AG29" i="3" s="1"/>
  <c r="AH52" i="3"/>
  <c r="AH51" i="3" s="1"/>
  <c r="AH56" i="3" s="1"/>
  <c r="AH61" i="3"/>
  <c r="AH23" i="3"/>
  <c r="AJ190" i="2"/>
  <c r="AI19" i="3" s="1"/>
  <c r="AH10" i="3"/>
  <c r="AH15" i="3" s="1"/>
  <c r="AJ55" i="2"/>
  <c r="AJ50" i="2"/>
  <c r="AH35" i="3"/>
  <c r="AH62" i="3" s="1"/>
  <c r="AJ53" i="2"/>
  <c r="AK54" i="2" s="1"/>
  <c r="AJ49" i="2"/>
  <c r="AF60" i="3" l="1"/>
  <c r="AF66" i="3" s="1"/>
  <c r="AG49" i="3"/>
  <c r="AF45" i="3"/>
  <c r="AF58" i="3" s="1"/>
  <c r="AF46" i="3"/>
  <c r="AH25" i="3"/>
  <c r="AI8" i="2" s="1"/>
  <c r="AI9" i="2" s="1"/>
  <c r="AH9" i="2"/>
  <c r="AI52" i="3"/>
  <c r="AI51" i="3" s="1"/>
  <c r="AI56" i="3" s="1"/>
  <c r="AI61" i="3"/>
  <c r="AG60" i="3"/>
  <c r="AG66" i="3" s="1"/>
  <c r="AI23" i="3"/>
  <c r="AK50" i="2"/>
  <c r="AK53" i="2"/>
  <c r="AL54" i="2" s="1"/>
  <c r="AI35" i="3"/>
  <c r="AI62" i="3" s="1"/>
  <c r="AK49" i="2"/>
  <c r="AK55" i="2"/>
  <c r="AK190" i="2"/>
  <c r="AJ19" i="3" s="1"/>
  <c r="AI10" i="3"/>
  <c r="AI15" i="3" s="1"/>
  <c r="AG46" i="3"/>
  <c r="AG45" i="3"/>
  <c r="AJ35" i="3" l="1"/>
  <c r="AL50" i="2"/>
  <c r="AL55" i="2"/>
  <c r="AK10" i="3" s="1"/>
  <c r="AK15" i="3" s="1"/>
  <c r="AL53" i="2"/>
  <c r="AM54" i="2" s="1"/>
  <c r="AJ10" i="3"/>
  <c r="AJ15" i="3" s="1"/>
  <c r="AL190" i="2"/>
  <c r="AK19" i="3" s="1"/>
  <c r="AL49" i="2"/>
  <c r="AH29" i="3"/>
  <c r="AH46" i="3" s="1"/>
  <c r="AG58" i="3"/>
  <c r="AI25" i="3"/>
  <c r="AJ8" i="2" s="1"/>
  <c r="AJ9" i="2" s="1"/>
  <c r="AJ52" i="3"/>
  <c r="AJ51" i="3" s="1"/>
  <c r="AJ56" i="3" s="1"/>
  <c r="AJ61" i="3"/>
  <c r="AJ62" i="3"/>
  <c r="AJ23" i="3"/>
  <c r="AJ25" i="3" l="1"/>
  <c r="AK8" i="2" s="1"/>
  <c r="AM190" i="2"/>
  <c r="AL19" i="3" s="1"/>
  <c r="AK35" i="3"/>
  <c r="AK62" i="3" s="1"/>
  <c r="AM53" i="2"/>
  <c r="AN54" i="2" s="1"/>
  <c r="AM50" i="2"/>
  <c r="AM55" i="2"/>
  <c r="AM49" i="2"/>
  <c r="AK52" i="3"/>
  <c r="AK51" i="3" s="1"/>
  <c r="AK56" i="3" s="1"/>
  <c r="AK61" i="3"/>
  <c r="AK23" i="3"/>
  <c r="AK25" i="3" s="1"/>
  <c r="AH60" i="3"/>
  <c r="AH66" i="3" s="1"/>
  <c r="AH49" i="3"/>
  <c r="AH45" i="3"/>
  <c r="AH58" i="3" s="1"/>
  <c r="AI29" i="3"/>
  <c r="AI49" i="3" s="1"/>
  <c r="AL8" i="2" l="1"/>
  <c r="AL61" i="3"/>
  <c r="AL52" i="3"/>
  <c r="AL51" i="3" s="1"/>
  <c r="AL56" i="3" s="1"/>
  <c r="AL23" i="3"/>
  <c r="AJ29" i="3"/>
  <c r="AJ49" i="3" s="1"/>
  <c r="AL35" i="3"/>
  <c r="AL62" i="3" s="1"/>
  <c r="AN50" i="2"/>
  <c r="AN49" i="2"/>
  <c r="AN55" i="2"/>
  <c r="AN53" i="2"/>
  <c r="AO54" i="2" s="1"/>
  <c r="AL10" i="3"/>
  <c r="AL15" i="3" s="1"/>
  <c r="AN190" i="2"/>
  <c r="AM19" i="3" s="1"/>
  <c r="AI45" i="3"/>
  <c r="AI58" i="3" s="1"/>
  <c r="AI46" i="3"/>
  <c r="AI60" i="3"/>
  <c r="AI66" i="3" s="1"/>
  <c r="AK9" i="2"/>
  <c r="E56" i="3"/>
  <c r="AJ46" i="3" l="1"/>
  <c r="AL25" i="3"/>
  <c r="AM8" i="2" s="1"/>
  <c r="AL29" i="3" s="1"/>
  <c r="AJ45" i="3"/>
  <c r="AJ58" i="3" s="1"/>
  <c r="AJ60" i="3"/>
  <c r="AJ66" i="3" s="1"/>
  <c r="AM10" i="3"/>
  <c r="AM15" i="3" s="1"/>
  <c r="AO190" i="2"/>
  <c r="AN19" i="3" s="1"/>
  <c r="AK29" i="3"/>
  <c r="AL9" i="2"/>
  <c r="AO55" i="2"/>
  <c r="AO50" i="2"/>
  <c r="AO49" i="2"/>
  <c r="AO53" i="2"/>
  <c r="AP54" i="2" s="1"/>
  <c r="AM35" i="3"/>
  <c r="AM62" i="3" s="1"/>
  <c r="AM61" i="3"/>
  <c r="AM52" i="3"/>
  <c r="AM51" i="3" s="1"/>
  <c r="AM56" i="3" s="1"/>
  <c r="AM23" i="3"/>
  <c r="AM25" i="3" l="1"/>
  <c r="AN8" i="2" s="1"/>
  <c r="AM29" i="3" s="1"/>
  <c r="AM9" i="2"/>
  <c r="AN10" i="3"/>
  <c r="AN15" i="3" s="1"/>
  <c r="AP190" i="2"/>
  <c r="AO19" i="3" s="1"/>
  <c r="AK49" i="3"/>
  <c r="AK45" i="3"/>
  <c r="AK58" i="3" s="1"/>
  <c r="AK60" i="3"/>
  <c r="AK66" i="3" s="1"/>
  <c r="AK46" i="3"/>
  <c r="AN52" i="3"/>
  <c r="AN51" i="3" s="1"/>
  <c r="AN56" i="3" s="1"/>
  <c r="AN61" i="3"/>
  <c r="AN23" i="3"/>
  <c r="AL45" i="3"/>
  <c r="AL49" i="3"/>
  <c r="AL46" i="3"/>
  <c r="AL60" i="3"/>
  <c r="AL66" i="3" s="1"/>
  <c r="AP50" i="2"/>
  <c r="AP49" i="2"/>
  <c r="AP55" i="2"/>
  <c r="AN35" i="3"/>
  <c r="AN62" i="3" s="1"/>
  <c r="AP53" i="2"/>
  <c r="AQ54" i="2" s="1"/>
  <c r="AN9" i="2" l="1"/>
  <c r="AN25" i="3"/>
  <c r="AO8" i="2" s="1"/>
  <c r="AO9" i="2" s="1"/>
  <c r="AM45" i="3"/>
  <c r="AM58" i="3" s="1"/>
  <c r="AM60" i="3"/>
  <c r="AM66" i="3" s="1"/>
  <c r="AM49" i="3"/>
  <c r="AM46" i="3"/>
  <c r="AL58" i="3"/>
  <c r="AQ190" i="2"/>
  <c r="AP19" i="3" s="1"/>
  <c r="AO10" i="3"/>
  <c r="AO15" i="3" s="1"/>
  <c r="AQ53" i="2"/>
  <c r="AR54" i="2" s="1"/>
  <c r="AQ49" i="2"/>
  <c r="AQ50" i="2"/>
  <c r="AQ55" i="2"/>
  <c r="AO35" i="3"/>
  <c r="AO62" i="3" s="1"/>
  <c r="AO52" i="3"/>
  <c r="AO51" i="3" s="1"/>
  <c r="AO56" i="3" s="1"/>
  <c r="AO61" i="3"/>
  <c r="AO23" i="3"/>
  <c r="AN29" i="3" l="1"/>
  <c r="AN49" i="3" s="1"/>
  <c r="AO25" i="3"/>
  <c r="AP8" i="2" s="1"/>
  <c r="AO29" i="3" s="1"/>
  <c r="AP10" i="3"/>
  <c r="AP15" i="3" s="1"/>
  <c r="AR190" i="2"/>
  <c r="AQ19" i="3" s="1"/>
  <c r="AR55" i="2"/>
  <c r="AQ10" i="3" s="1"/>
  <c r="AQ15" i="3" s="1"/>
  <c r="AR53" i="2"/>
  <c r="AR50" i="2"/>
  <c r="AP35" i="3"/>
  <c r="AP62" i="3" s="1"/>
  <c r="AR49" i="2"/>
  <c r="AQ35" i="3" s="1"/>
  <c r="AP61" i="3"/>
  <c r="AP52" i="3"/>
  <c r="AP51" i="3" s="1"/>
  <c r="AP56" i="3" s="1"/>
  <c r="AP23" i="3"/>
  <c r="AQ62" i="3" l="1"/>
  <c r="AN46" i="3"/>
  <c r="AN60" i="3"/>
  <c r="AN66" i="3" s="1"/>
  <c r="AN45" i="3"/>
  <c r="AN58" i="3" s="1"/>
  <c r="AP25" i="3"/>
  <c r="AQ8" i="2" s="1"/>
  <c r="AQ9" i="2" s="1"/>
  <c r="AP9" i="2"/>
  <c r="AQ52" i="3"/>
  <c r="AQ51" i="3" s="1"/>
  <c r="AQ56" i="3" s="1"/>
  <c r="AQ61" i="3"/>
  <c r="AQ23" i="3"/>
  <c r="AQ25" i="3" s="1"/>
  <c r="AO60" i="3"/>
  <c r="AO66" i="3" s="1"/>
  <c r="AO49" i="3"/>
  <c r="AO46" i="3"/>
  <c r="AO45" i="3"/>
  <c r="AO58" i="3" l="1"/>
  <c r="AP29" i="3"/>
  <c r="AP60" i="3" s="1"/>
  <c r="AP66" i="3" s="1"/>
  <c r="AR8" i="2"/>
  <c r="AQ29" i="3" s="1"/>
  <c r="AR9" i="2" l="1"/>
  <c r="AP46" i="3"/>
  <c r="AP49" i="3"/>
  <c r="AP45" i="3"/>
  <c r="AP58" i="3" s="1"/>
  <c r="AQ45" i="3"/>
  <c r="AQ46" i="3"/>
  <c r="AQ60" i="3"/>
  <c r="AQ66" i="3" s="1"/>
  <c r="AQ49" i="3"/>
  <c r="AQ58" i="3" l="1"/>
</calcChain>
</file>

<file path=xl/sharedStrings.xml><?xml version="1.0" encoding="utf-8"?>
<sst xmlns="http://schemas.openxmlformats.org/spreadsheetml/2006/main" count="263" uniqueCount="121">
  <si>
    <t>Spend</t>
  </si>
  <si>
    <t>Tax</t>
  </si>
  <si>
    <t>Inv Inc</t>
  </si>
  <si>
    <t>PKPE</t>
  </si>
  <si>
    <t>FB</t>
  </si>
  <si>
    <t>FCM</t>
  </si>
  <si>
    <t>FIRA</t>
  </si>
  <si>
    <t>CVC</t>
  </si>
  <si>
    <t>IS</t>
  </si>
  <si>
    <t>Real Estate</t>
  </si>
  <si>
    <t>WC</t>
  </si>
  <si>
    <t>NW</t>
  </si>
  <si>
    <t>Salary</t>
  </si>
  <si>
    <t>Inv Bal EB</t>
  </si>
  <si>
    <t>Inv Bal OB</t>
  </si>
  <si>
    <t>Real Estate Rental</t>
  </si>
  <si>
    <t>Rental Income</t>
  </si>
  <si>
    <t>UB Div</t>
  </si>
  <si>
    <t>UB Sale</t>
  </si>
  <si>
    <t>Rental RE</t>
  </si>
  <si>
    <t>Cash</t>
  </si>
  <si>
    <t>Fixed Income</t>
  </si>
  <si>
    <t>Deposits</t>
  </si>
  <si>
    <t>Deposit Rate</t>
  </si>
  <si>
    <t>Fidelity</t>
  </si>
  <si>
    <t>Dividends</t>
  </si>
  <si>
    <t>Growth (Equity)</t>
  </si>
  <si>
    <t>Growth (CVC)</t>
  </si>
  <si>
    <t>UB</t>
  </si>
  <si>
    <t>Annual  Dividend</t>
  </si>
  <si>
    <t>Movments</t>
  </si>
  <si>
    <t>FX</t>
  </si>
  <si>
    <t>EUR</t>
  </si>
  <si>
    <t>PLN</t>
  </si>
  <si>
    <t>Cash Flow</t>
  </si>
  <si>
    <t>PM4</t>
  </si>
  <si>
    <t>PM6</t>
  </si>
  <si>
    <t>SS4</t>
  </si>
  <si>
    <t>Travel</t>
  </si>
  <si>
    <t>Interest Income</t>
  </si>
  <si>
    <t>Dividend Income</t>
  </si>
  <si>
    <t>UB Dividend</t>
  </si>
  <si>
    <t>Total In</t>
  </si>
  <si>
    <t>Living Costs</t>
  </si>
  <si>
    <t>Total Out</t>
  </si>
  <si>
    <t>Net Cash</t>
  </si>
  <si>
    <t>Funding to cash</t>
  </si>
  <si>
    <t>Balance Sheet</t>
  </si>
  <si>
    <t>Stocks</t>
  </si>
  <si>
    <t>SP Properties</t>
  </si>
  <si>
    <t>UB Investment</t>
  </si>
  <si>
    <t>growth</t>
  </si>
  <si>
    <t>Net Worth</t>
  </si>
  <si>
    <t>Nokomis</t>
  </si>
  <si>
    <t>Siesta</t>
  </si>
  <si>
    <t>US Properties</t>
  </si>
  <si>
    <t>PL Properties</t>
  </si>
  <si>
    <t>Niemena</t>
  </si>
  <si>
    <t>Muszlowa</t>
  </si>
  <si>
    <t>CVC Payout</t>
  </si>
  <si>
    <t>Investments</t>
  </si>
  <si>
    <t>Financial Expenses</t>
  </si>
  <si>
    <t>Property Costs</t>
  </si>
  <si>
    <t>Living Expenses</t>
  </si>
  <si>
    <t xml:space="preserve">Purchases </t>
  </si>
  <si>
    <t>One-Off</t>
  </si>
  <si>
    <t>Expenses</t>
  </si>
  <si>
    <t>Spend Adjustment</t>
  </si>
  <si>
    <t>Difference</t>
  </si>
  <si>
    <t>Invest</t>
  </si>
  <si>
    <t>Sell</t>
  </si>
  <si>
    <t>Financial Investments</t>
  </si>
  <si>
    <t>Real Estate Invesments</t>
  </si>
  <si>
    <t>Purchase</t>
  </si>
  <si>
    <t>Investment Sales</t>
  </si>
  <si>
    <t>Financial Sales</t>
  </si>
  <si>
    <t>check</t>
  </si>
  <si>
    <t>Liabilities</t>
  </si>
  <si>
    <t>Casarina</t>
  </si>
  <si>
    <t>Calusa</t>
  </si>
  <si>
    <t>Inflation</t>
  </si>
  <si>
    <t>Market Value</t>
  </si>
  <si>
    <t>Basis</t>
  </si>
  <si>
    <t>Gain/Loss</t>
  </si>
  <si>
    <t>(eur)</t>
  </si>
  <si>
    <t>(pln)</t>
  </si>
  <si>
    <t>Sale</t>
  </si>
  <si>
    <t>(usd)</t>
  </si>
  <si>
    <t>Real Estate Sale</t>
  </si>
  <si>
    <t>Interest Rate</t>
  </si>
  <si>
    <t>Interest Expense</t>
  </si>
  <si>
    <t>Repayment - Cas</t>
  </si>
  <si>
    <t>Repayment - Cal</t>
  </si>
  <si>
    <t>Debt Repayment</t>
  </si>
  <si>
    <t>Other Taxes</t>
  </si>
  <si>
    <t>Buffer</t>
  </si>
  <si>
    <t>Salary/SS Income</t>
  </si>
  <si>
    <t>OTF</t>
  </si>
  <si>
    <t>CVC2</t>
  </si>
  <si>
    <t>CVC1</t>
  </si>
  <si>
    <t>Other Investment</t>
  </si>
  <si>
    <t>Land</t>
  </si>
  <si>
    <t>Property Income</t>
  </si>
  <si>
    <t>PL Land</t>
  </si>
  <si>
    <t>Land Income</t>
  </si>
  <si>
    <t>New FL</t>
  </si>
  <si>
    <t>Real Estate EUR</t>
  </si>
  <si>
    <t>Real Estate USD</t>
  </si>
  <si>
    <t>Real Estate PLN</t>
  </si>
  <si>
    <t>New Business</t>
  </si>
  <si>
    <t>Other  Income</t>
  </si>
  <si>
    <t>Other Business</t>
  </si>
  <si>
    <t>Change Cash</t>
  </si>
  <si>
    <t>Debt</t>
  </si>
  <si>
    <t>Change in Equity</t>
  </si>
  <si>
    <t>Unrealized Gain</t>
  </si>
  <si>
    <t>Operating</t>
  </si>
  <si>
    <t>Realized Gain</t>
  </si>
  <si>
    <t>Other</t>
  </si>
  <si>
    <t>Retirement Home</t>
  </si>
  <si>
    <t>5/14/67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</si>
</sst>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%"/>
    <numFmt numFmtId="167" formatCode="_(* #,##0.0_);_(* \(#,##0.0\);_(* &quot;-&quot;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name val="Arial"/>
      <family val="1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DEC8D8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</cellStyleXfs>
  <cellXfs count="165">
    <xf numFmtId="0" fontId="0" fillId="0" borderId="0" xfId="0"/>
    <xf numFmtId="164" fontId="0" fillId="0" borderId="0" xfId="1" applyNumberFormat="1" applyFont="1"/>
    <xf numFmtId="165" fontId="0" fillId="0" borderId="0" xfId="1" applyNumberFormat="1" applyFont="1"/>
    <xf numFmtId="166" fontId="0" fillId="0" borderId="0" xfId="2" applyNumberFormat="1" applyFont="1"/>
    <xf numFmtId="166" fontId="2" fillId="2" borderId="0" xfId="2" applyNumberFormat="1" applyFont="1" applyFill="1"/>
    <xf numFmtId="1" fontId="0" fillId="0" borderId="0" xfId="0" applyNumberFormat="1" applyAlignment="1">
      <alignment horizontal="center"/>
    </xf>
    <xf numFmtId="164" fontId="0" fillId="0" borderId="0" xfId="0" applyNumberFormat="1"/>
    <xf numFmtId="43" fontId="0" fillId="0" borderId="0" xfId="0" applyNumberFormat="1"/>
    <xf numFmtId="167" fontId="0" fillId="0" borderId="0" xfId="0" applyNumberFormat="1"/>
    <xf numFmtId="164" fontId="0" fillId="0" borderId="1" xfId="1" applyNumberFormat="1" applyFont="1" applyBorder="1"/>
    <xf numFmtId="43" fontId="0" fillId="0" borderId="0" xfId="1" applyFont="1"/>
    <xf numFmtId="0" fontId="3" fillId="0" borderId="0" xfId="0" applyFont="1"/>
    <xf numFmtId="165" fontId="0" fillId="0" borderId="0" xfId="0" applyNumberFormat="1"/>
    <xf numFmtId="9" fontId="0" fillId="0" borderId="0" xfId="0" applyNumberFormat="1"/>
    <xf numFmtId="0" fontId="4" fillId="0" borderId="0" xfId="0" applyFont="1"/>
    <xf numFmtId="0" fontId="3" fillId="4" borderId="0" xfId="0" applyFont="1" applyFill="1"/>
    <xf numFmtId="0" fontId="5" fillId="0" borderId="0" xfId="3"/>
    <xf numFmtId="166" fontId="0" fillId="5" borderId="3" xfId="2" applyNumberFormat="1" applyFont="1" applyFill="1" applyBorder="1"/>
    <xf numFmtId="164" fontId="0" fillId="0" borderId="0" xfId="1" applyNumberFormat="1" applyFont="1" applyBorder="1"/>
    <xf numFmtId="9" fontId="0" fillId="0" borderId="0" xfId="2" applyFont="1" applyBorder="1"/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9" fontId="0" fillId="2" borderId="0" xfId="2" applyFont="1" applyFill="1" applyBorder="1"/>
    <xf numFmtId="164" fontId="0" fillId="5" borderId="3" xfId="1" applyNumberFormat="1" applyFont="1" applyFill="1" applyBorder="1"/>
    <xf numFmtId="164" fontId="3" fillId="0" borderId="0" xfId="1" applyNumberFormat="1" applyFont="1"/>
    <xf numFmtId="0" fontId="0" fillId="0" borderId="0" xfId="0" applyAlignment="1">
      <alignment horizontal="right"/>
    </xf>
    <xf numFmtId="0" fontId="8" fillId="2" borderId="0" xfId="0" applyFont="1" applyFill="1"/>
    <xf numFmtId="164" fontId="8" fillId="2" borderId="0" xfId="1" applyNumberFormat="1" applyFont="1" applyFill="1"/>
    <xf numFmtId="43" fontId="8" fillId="2" borderId="0" xfId="0" applyNumberFormat="1" applyFont="1" applyFill="1"/>
    <xf numFmtId="0" fontId="9" fillId="0" borderId="0" xfId="0" applyFont="1"/>
    <xf numFmtId="0" fontId="10" fillId="2" borderId="4" xfId="0" applyFont="1" applyFill="1" applyBorder="1"/>
    <xf numFmtId="43" fontId="10" fillId="2" borderId="5" xfId="1" applyFont="1" applyFill="1" applyBorder="1"/>
    <xf numFmtId="43" fontId="10" fillId="2" borderId="6" xfId="1" applyFont="1" applyFill="1" applyBorder="1"/>
    <xf numFmtId="0" fontId="10" fillId="2" borderId="7" xfId="0" applyFont="1" applyFill="1" applyBorder="1"/>
    <xf numFmtId="0" fontId="10" fillId="2" borderId="8" xfId="0" applyFont="1" applyFill="1" applyBorder="1"/>
    <xf numFmtId="164" fontId="10" fillId="2" borderId="8" xfId="1" applyNumberFormat="1" applyFont="1" applyFill="1" applyBorder="1"/>
    <xf numFmtId="164" fontId="10" fillId="2" borderId="9" xfId="1" applyNumberFormat="1" applyFont="1" applyFill="1" applyBorder="1"/>
    <xf numFmtId="166" fontId="3" fillId="0" borderId="0" xfId="2" applyNumberFormat="1" applyFont="1"/>
    <xf numFmtId="165" fontId="0" fillId="0" borderId="3" xfId="1" applyNumberFormat="1" applyFont="1" applyFill="1" applyBorder="1"/>
    <xf numFmtId="164" fontId="0" fillId="0" borderId="0" xfId="0" applyNumberFormat="1" applyAlignment="1">
      <alignment horizontal="center"/>
    </xf>
    <xf numFmtId="0" fontId="3" fillId="0" borderId="10" xfId="0" applyFont="1" applyBorder="1"/>
    <xf numFmtId="0" fontId="11" fillId="0" borderId="1" xfId="0" applyFont="1" applyBorder="1" applyAlignment="1">
      <alignment horizontal="right"/>
    </xf>
    <xf numFmtId="165" fontId="0" fillId="0" borderId="1" xfId="1" applyNumberFormat="1" applyFont="1" applyBorder="1"/>
    <xf numFmtId="165" fontId="0" fillId="0" borderId="11" xfId="1" applyNumberFormat="1" applyFont="1" applyBorder="1"/>
    <xf numFmtId="0" fontId="7" fillId="0" borderId="12" xfId="0" applyFont="1" applyBorder="1"/>
    <xf numFmtId="0" fontId="11" fillId="0" borderId="0" xfId="0" applyFont="1" applyAlignment="1">
      <alignment horizontal="right"/>
    </xf>
    <xf numFmtId="165" fontId="0" fillId="0" borderId="0" xfId="1" applyNumberFormat="1" applyFont="1" applyBorder="1"/>
    <xf numFmtId="165" fontId="0" fillId="0" borderId="13" xfId="1" applyNumberFormat="1" applyFont="1" applyBorder="1"/>
    <xf numFmtId="165" fontId="0" fillId="0" borderId="12" xfId="1" applyNumberFormat="1" applyFont="1" applyBorder="1"/>
    <xf numFmtId="165" fontId="0" fillId="0" borderId="0" xfId="1" applyNumberFormat="1" applyFont="1" applyBorder="1" applyAlignment="1">
      <alignment horizontal="right"/>
    </xf>
    <xf numFmtId="165" fontId="0" fillId="2" borderId="0" xfId="1" applyNumberFormat="1" applyFont="1" applyFill="1" applyBorder="1"/>
    <xf numFmtId="166" fontId="0" fillId="0" borderId="12" xfId="2" applyNumberFormat="1" applyFont="1" applyBorder="1"/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/>
    <xf numFmtId="0" fontId="0" fillId="0" borderId="12" xfId="0" applyBorder="1"/>
    <xf numFmtId="0" fontId="0" fillId="0" borderId="14" xfId="0" applyBorder="1"/>
    <xf numFmtId="0" fontId="0" fillId="0" borderId="15" xfId="0" applyBorder="1" applyAlignment="1">
      <alignment horizontal="right"/>
    </xf>
    <xf numFmtId="165" fontId="0" fillId="0" borderId="15" xfId="1" applyNumberFormat="1" applyFont="1" applyBorder="1"/>
    <xf numFmtId="165" fontId="0" fillId="0" borderId="15" xfId="1" applyNumberFormat="1" applyFont="1" applyFill="1" applyBorder="1"/>
    <xf numFmtId="0" fontId="0" fillId="0" borderId="1" xfId="0" applyBorder="1"/>
    <xf numFmtId="165" fontId="0" fillId="0" borderId="1" xfId="0" applyNumberFormat="1" applyBorder="1"/>
    <xf numFmtId="165" fontId="0" fillId="0" borderId="11" xfId="0" applyNumberFormat="1" applyBorder="1"/>
    <xf numFmtId="10" fontId="0" fillId="0" borderId="0" xfId="2" applyNumberFormat="1" applyFont="1" applyFill="1" applyBorder="1"/>
    <xf numFmtId="10" fontId="0" fillId="0" borderId="13" xfId="2" applyNumberFormat="1" applyFont="1" applyFill="1" applyBorder="1"/>
    <xf numFmtId="0" fontId="0" fillId="0" borderId="13" xfId="0" applyBorder="1"/>
    <xf numFmtId="165" fontId="0" fillId="0" borderId="0" xfId="1" applyNumberFormat="1" applyFont="1" applyFill="1" applyBorder="1"/>
    <xf numFmtId="165" fontId="0" fillId="0" borderId="13" xfId="1" applyNumberFormat="1" applyFont="1" applyFill="1" applyBorder="1"/>
    <xf numFmtId="0" fontId="0" fillId="0" borderId="15" xfId="0" applyBorder="1"/>
    <xf numFmtId="0" fontId="0" fillId="0" borderId="16" xfId="0" applyBorder="1"/>
    <xf numFmtId="0" fontId="3" fillId="0" borderId="12" xfId="0" applyFont="1" applyBorder="1"/>
    <xf numFmtId="166" fontId="0" fillId="0" borderId="15" xfId="2" applyNumberFormat="1" applyFont="1" applyBorder="1"/>
    <xf numFmtId="166" fontId="0" fillId="0" borderId="16" xfId="2" applyNumberFormat="1" applyFont="1" applyBorder="1"/>
    <xf numFmtId="165" fontId="0" fillId="0" borderId="2" xfId="1" applyNumberFormat="1" applyFont="1" applyBorder="1"/>
    <xf numFmtId="0" fontId="0" fillId="0" borderId="11" xfId="0" applyBorder="1"/>
    <xf numFmtId="165" fontId="0" fillId="0" borderId="13" xfId="0" applyNumberFormat="1" applyBorder="1"/>
    <xf numFmtId="166" fontId="0" fillId="0" borderId="14" xfId="2" applyNumberFormat="1" applyFont="1" applyBorder="1"/>
    <xf numFmtId="165" fontId="7" fillId="0" borderId="12" xfId="1" applyNumberFormat="1" applyFont="1" applyBorder="1"/>
    <xf numFmtId="9" fontId="0" fillId="0" borderId="15" xfId="2" applyFont="1" applyBorder="1"/>
    <xf numFmtId="165" fontId="3" fillId="0" borderId="10" xfId="1" applyNumberFormat="1" applyFont="1" applyBorder="1"/>
    <xf numFmtId="0" fontId="6" fillId="0" borderId="10" xfId="0" applyFont="1" applyBorder="1"/>
    <xf numFmtId="9" fontId="0" fillId="0" borderId="16" xfId="2" applyFont="1" applyBorder="1"/>
    <xf numFmtId="0" fontId="6" fillId="6" borderId="0" xfId="0" applyFont="1" applyFill="1" applyAlignment="1">
      <alignment horizontal="center"/>
    </xf>
    <xf numFmtId="0" fontId="6" fillId="6" borderId="18" xfId="0" applyFont="1" applyFill="1" applyBorder="1" applyAlignment="1">
      <alignment horizontal="center"/>
    </xf>
    <xf numFmtId="43" fontId="0" fillId="5" borderId="3" xfId="1" applyFont="1" applyFill="1" applyBorder="1"/>
    <xf numFmtId="165" fontId="0" fillId="5" borderId="3" xfId="1" applyNumberFormat="1" applyFont="1" applyFill="1" applyBorder="1"/>
    <xf numFmtId="165" fontId="0" fillId="0" borderId="1" xfId="1" applyNumberFormat="1" applyFont="1" applyBorder="1" applyAlignment="1">
      <alignment horizontal="right"/>
    </xf>
    <xf numFmtId="165" fontId="0" fillId="0" borderId="0" xfId="1" applyNumberFormat="1" applyFont="1" applyAlignment="1">
      <alignment horizontal="right"/>
    </xf>
    <xf numFmtId="166" fontId="0" fillId="0" borderId="15" xfId="2" applyNumberFormat="1" applyFont="1" applyBorder="1" applyAlignment="1">
      <alignment horizontal="right"/>
    </xf>
    <xf numFmtId="165" fontId="0" fillId="5" borderId="19" xfId="1" applyNumberFormat="1" applyFont="1" applyFill="1" applyBorder="1"/>
    <xf numFmtId="165" fontId="0" fillId="0" borderId="14" xfId="1" applyNumberFormat="1" applyFont="1" applyBorder="1"/>
    <xf numFmtId="0" fontId="0" fillId="3" borderId="20" xfId="0" applyFill="1" applyBorder="1"/>
    <xf numFmtId="165" fontId="0" fillId="3" borderId="21" xfId="1" applyNumberFormat="1" applyFont="1" applyFill="1" applyBorder="1"/>
    <xf numFmtId="0" fontId="0" fillId="3" borderId="21" xfId="0" applyFill="1" applyBorder="1"/>
    <xf numFmtId="166" fontId="0" fillId="3" borderId="21" xfId="2" applyNumberFormat="1" applyFont="1" applyFill="1" applyBorder="1"/>
    <xf numFmtId="165" fontId="0" fillId="3" borderId="22" xfId="1" applyNumberFormat="1" applyFont="1" applyFill="1" applyBorder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6" borderId="20" xfId="0" applyFill="1" applyBorder="1"/>
    <xf numFmtId="0" fontId="0" fillId="6" borderId="21" xfId="0" applyFill="1" applyBorder="1"/>
    <xf numFmtId="165" fontId="0" fillId="6" borderId="21" xfId="1" applyNumberFormat="1" applyFont="1" applyFill="1" applyBorder="1"/>
    <xf numFmtId="166" fontId="0" fillId="6" borderId="21" xfId="2" applyNumberFormat="1" applyFont="1" applyFill="1" applyBorder="1"/>
    <xf numFmtId="166" fontId="0" fillId="6" borderId="22" xfId="2" applyNumberFormat="1" applyFont="1" applyFill="1" applyBorder="1"/>
    <xf numFmtId="0" fontId="0" fillId="2" borderId="1" xfId="0" applyFill="1" applyBorder="1"/>
    <xf numFmtId="165" fontId="0" fillId="2" borderId="1" xfId="0" applyNumberFormat="1" applyFill="1" applyBorder="1"/>
    <xf numFmtId="165" fontId="0" fillId="2" borderId="11" xfId="0" applyNumberFormat="1" applyFill="1" applyBorder="1"/>
    <xf numFmtId="0" fontId="0" fillId="2" borderId="0" xfId="0" applyFill="1"/>
    <xf numFmtId="165" fontId="0" fillId="2" borderId="0" xfId="0" applyNumberFormat="1" applyFill="1"/>
    <xf numFmtId="165" fontId="0" fillId="2" borderId="13" xfId="0" applyNumberFormat="1" applyFill="1" applyBorder="1"/>
    <xf numFmtId="0" fontId="0" fillId="2" borderId="15" xfId="0" applyFill="1" applyBorder="1"/>
    <xf numFmtId="165" fontId="0" fillId="2" borderId="15" xfId="0" applyNumberFormat="1" applyFill="1" applyBorder="1"/>
    <xf numFmtId="165" fontId="0" fillId="2" borderId="16" xfId="0" applyNumberForma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4" xfId="0" applyFont="1" applyFill="1" applyBorder="1"/>
    <xf numFmtId="166" fontId="3" fillId="0" borderId="10" xfId="2" applyNumberFormat="1" applyFont="1" applyBorder="1"/>
    <xf numFmtId="165" fontId="0" fillId="0" borderId="15" xfId="1" applyNumberFormat="1" applyFont="1" applyBorder="1" applyAlignment="1">
      <alignment horizontal="right"/>
    </xf>
    <xf numFmtId="165" fontId="0" fillId="8" borderId="20" xfId="1" applyNumberFormat="1" applyFont="1" applyFill="1" applyBorder="1"/>
    <xf numFmtId="165" fontId="0" fillId="8" borderId="21" xfId="1" applyNumberFormat="1" applyFont="1" applyFill="1" applyBorder="1"/>
    <xf numFmtId="165" fontId="0" fillId="8" borderId="22" xfId="1" applyNumberFormat="1" applyFont="1" applyFill="1" applyBorder="1"/>
    <xf numFmtId="165" fontId="0" fillId="2" borderId="13" xfId="1" applyNumberFormat="1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0" borderId="3" xfId="1" applyNumberFormat="1" applyFont="1" applyBorder="1"/>
    <xf numFmtId="0" fontId="0" fillId="9" borderId="20" xfId="0" applyFill="1" applyBorder="1"/>
    <xf numFmtId="0" fontId="0" fillId="9" borderId="21" xfId="0" applyFill="1" applyBorder="1"/>
    <xf numFmtId="0" fontId="0" fillId="9" borderId="22" xfId="0" applyFill="1" applyBorder="1"/>
    <xf numFmtId="0" fontId="6" fillId="7" borderId="4" xfId="1" applyNumberFormat="1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165" fontId="6" fillId="7" borderId="17" xfId="1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7" borderId="0" xfId="0" applyFont="1" applyFill="1"/>
    <xf numFmtId="0" fontId="3" fillId="7" borderId="0" xfId="1" applyNumberFormat="1" applyFont="1" applyFill="1" applyAlignment="1">
      <alignment horizontal="center"/>
    </xf>
    <xf numFmtId="165" fontId="0" fillId="7" borderId="1" xfId="1" applyNumberFormat="1" applyFont="1" applyFill="1" applyBorder="1"/>
    <xf numFmtId="165" fontId="0" fillId="7" borderId="1" xfId="0" applyNumberFormat="1" applyFill="1" applyBorder="1"/>
    <xf numFmtId="10" fontId="0" fillId="7" borderId="0" xfId="2" applyNumberFormat="1" applyFont="1" applyFill="1" applyBorder="1"/>
    <xf numFmtId="0" fontId="0" fillId="7" borderId="0" xfId="0" applyFill="1"/>
    <xf numFmtId="165" fontId="0" fillId="7" borderId="0" xfId="1" applyNumberFormat="1" applyFont="1" applyFill="1" applyBorder="1"/>
    <xf numFmtId="165" fontId="0" fillId="7" borderId="15" xfId="1" applyNumberFormat="1" applyFont="1" applyFill="1" applyBorder="1"/>
    <xf numFmtId="0" fontId="0" fillId="7" borderId="15" xfId="0" applyFill="1" applyBorder="1"/>
    <xf numFmtId="165" fontId="0" fillId="7" borderId="3" xfId="1" applyNumberFormat="1" applyFont="1" applyFill="1" applyBorder="1"/>
    <xf numFmtId="166" fontId="0" fillId="7" borderId="0" xfId="2" applyNumberFormat="1" applyFont="1" applyFill="1" applyBorder="1"/>
    <xf numFmtId="166" fontId="0" fillId="7" borderId="15" xfId="2" applyNumberFormat="1" applyFont="1" applyFill="1" applyBorder="1"/>
    <xf numFmtId="0" fontId="0" fillId="7" borderId="1" xfId="0" applyFill="1" applyBorder="1"/>
    <xf numFmtId="165" fontId="0" fillId="7" borderId="0" xfId="0" applyNumberFormat="1" applyFill="1"/>
    <xf numFmtId="9" fontId="0" fillId="7" borderId="15" xfId="2" applyFont="1" applyFill="1" applyBorder="1"/>
    <xf numFmtId="165" fontId="0" fillId="7" borderId="0" xfId="1" applyNumberFormat="1" applyFont="1" applyFill="1"/>
    <xf numFmtId="164" fontId="0" fillId="7" borderId="3" xfId="1" applyNumberFormat="1" applyFont="1" applyFill="1" applyBorder="1"/>
    <xf numFmtId="164" fontId="0" fillId="7" borderId="0" xfId="1" applyNumberFormat="1" applyFont="1" applyFill="1"/>
    <xf numFmtId="164" fontId="0" fillId="7" borderId="1" xfId="1" applyNumberFormat="1" applyFont="1" applyFill="1" applyBorder="1"/>
    <xf numFmtId="165" fontId="0" fillId="7" borderId="15" xfId="0" applyNumberFormat="1" applyFill="1" applyBorder="1"/>
    <xf numFmtId="165" fontId="0" fillId="7" borderId="2" xfId="1" applyNumberFormat="1" applyFont="1" applyFill="1" applyBorder="1"/>
    <xf numFmtId="166" fontId="0" fillId="0" borderId="15" xfId="2" applyNumberFormat="1" applyFont="1" applyFill="1" applyBorder="1"/>
    <xf numFmtId="166" fontId="0" fillId="0" borderId="16" xfId="2" applyNumberFormat="1" applyFont="1" applyFill="1" applyBorder="1"/>
    <xf numFmtId="165" fontId="0" fillId="0" borderId="12" xfId="1" applyNumberFormat="1" applyFont="1" applyFill="1" applyBorder="1"/>
    <xf numFmtId="165" fontId="0" fillId="0" borderId="0" xfId="1" applyNumberFormat="1" applyFont="1" applyFill="1" applyAlignment="1">
      <alignment horizontal="right"/>
    </xf>
    <xf numFmtId="166" fontId="0" fillId="0" borderId="14" xfId="2" applyNumberFormat="1" applyFont="1" applyFill="1" applyBorder="1"/>
    <xf numFmtId="166" fontId="0" fillId="0" borderId="15" xfId="2" applyNumberFormat="1" applyFont="1" applyFill="1" applyBorder="1" applyAlignment="1">
      <alignment horizontal="right"/>
    </xf>
    <xf numFmtId="165" fontId="0" fillId="0" borderId="1" xfId="1" applyNumberFormat="1" applyFont="1" applyFill="1" applyBorder="1" applyAlignment="1">
      <alignment horizontal="right"/>
    </xf>
    <xf numFmtId="165" fontId="0" fillId="0" borderId="0" xfId="1" applyNumberFormat="1" applyFont="1" applyFill="1" applyBorder="1" applyAlignment="1">
      <alignment horizontal="right"/>
    </xf>
    <xf numFmtId="164" fontId="0" fillId="0" borderId="0" xfId="1" applyNumberFormat="1" applyFont="1" applyFill="1" applyBorder="1"/>
    <xf numFmtId="165" fontId="0" fillId="0" borderId="2" xfId="0" applyNumberFormat="1" applyBorder="1"/>
    <xf numFmtId="165" fontId="0" fillId="7" borderId="2" xfId="0" applyNumberFormat="1" applyFill="1" applyBorder="1"/>
    <xf numFmtId="14" fontId="0" fillId="0" borderId="0" xfId="0" applyNumberFormat="1"/>
  </cellXfs>
  <cellStyles count="4">
    <cellStyle name="Comma" xfId="1" builtinId="3"/>
    <cellStyle name="Normal" xfId="0" builtinId="0"/>
    <cellStyle name="Normal 2" xfId="3" xr:uid="{76853BFB-7D47-404C-96B6-A91E4589CDD0}"/>
    <cellStyle name="Percent" xfId="2" builtinId="5"/>
  </cellStyles>
  <dxfs count="0"/>
  <tableStyles count="0" defaultTableStyle="TableStyleMedium2" defaultPivotStyle="PivotStyleLight16"/>
  <colors>
    <mruColors>
      <color rgb="FFDEC8D8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1</xdr:row>
          <xdr:rowOff>76200</xdr:rowOff>
        </xdr:from>
        <xdr:to>
          <xdr:col>0</xdr:col>
          <xdr:colOff>539750</xdr:colOff>
          <xdr:row>2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41C2-AB17-4472-B248-4EDD4E3A1430}">
  <sheetPr codeName="Sheet1"/>
  <dimension ref="C5:AN46"/>
  <sheetViews>
    <sheetView topLeftCell="A7" workbookViewId="0">
      <selection activeCell="G36" sqref="G36:G38"/>
    </sheetView>
  </sheetViews>
  <sheetFormatPr defaultRowHeight="14.5" x14ac:dyDescent="0.35"/>
  <cols>
    <col min="3" max="3" width="15.7265625" bestFit="1" customWidth="1"/>
    <col min="4" max="4" width="11.6328125" bestFit="1" customWidth="1"/>
    <col min="5" max="5" width="9.08984375" bestFit="1" customWidth="1"/>
    <col min="6" max="11" width="9.6328125" bestFit="1" customWidth="1"/>
    <col min="12" max="25" width="9.08984375" bestFit="1" customWidth="1"/>
    <col min="29" max="30" width="9.08984375" bestFit="1" customWidth="1"/>
  </cols>
  <sheetData>
    <row r="5" spans="3:40" x14ac:dyDescent="0.35">
      <c r="C5" t="s">
        <v>11</v>
      </c>
      <c r="D5" s="6">
        <f>+SUM(D28:D33)</f>
        <v>11950.707</v>
      </c>
      <c r="E5" s="6">
        <f>+SUM(E28:E33)</f>
        <v>12486.330529999999</v>
      </c>
      <c r="F5" s="6">
        <f t="shared" ref="F5:AL5" si="0">+SUM(F28:F33)</f>
        <v>11857.880355499999</v>
      </c>
      <c r="G5" s="6">
        <f t="shared" si="0"/>
        <v>11805.499489903999</v>
      </c>
      <c r="H5" s="6">
        <f t="shared" si="0"/>
        <v>11768.716850486398</v>
      </c>
      <c r="I5" s="6">
        <f t="shared" si="0"/>
        <v>11700.927157569371</v>
      </c>
      <c r="J5" s="6">
        <f t="shared" si="0"/>
        <v>11608.396151640442</v>
      </c>
      <c r="K5" s="6">
        <f t="shared" si="0"/>
        <v>11489.167809615028</v>
      </c>
      <c r="L5" s="6">
        <f t="shared" si="0"/>
        <v>11091.058531737826</v>
      </c>
      <c r="M5" s="6">
        <f t="shared" si="0"/>
        <v>9801.7416937174276</v>
      </c>
      <c r="N5" s="6">
        <f t="shared" si="0"/>
        <v>9556.0403596935375</v>
      </c>
      <c r="O5" s="6">
        <f t="shared" si="0"/>
        <v>9285.7034728685448</v>
      </c>
      <c r="P5" s="6">
        <f t="shared" si="0"/>
        <v>9075.5831925881339</v>
      </c>
      <c r="Q5" s="6">
        <f t="shared" si="0"/>
        <v>8932.5236259345711</v>
      </c>
      <c r="R5" s="6">
        <f t="shared" si="0"/>
        <v>8862.8697018975927</v>
      </c>
      <c r="S5" s="6">
        <f t="shared" si="0"/>
        <v>8773.3871502192123</v>
      </c>
      <c r="T5" s="6">
        <f t="shared" si="0"/>
        <v>8661.2988147217802</v>
      </c>
      <c r="U5" s="6">
        <f t="shared" si="0"/>
        <v>8538.4990066883547</v>
      </c>
      <c r="V5" s="6">
        <f t="shared" si="0"/>
        <v>8373.2059474900998</v>
      </c>
      <c r="W5" s="6">
        <f t="shared" si="0"/>
        <v>8179.0827133087278</v>
      </c>
      <c r="X5" s="6">
        <f t="shared" si="0"/>
        <v>7954.09575845979</v>
      </c>
      <c r="Y5" s="6">
        <f t="shared" si="0"/>
        <v>7695.8908052638817</v>
      </c>
      <c r="Z5" s="6">
        <f t="shared" si="0"/>
        <v>7401.9624120194931</v>
      </c>
      <c r="AA5" s="6">
        <f t="shared" si="0"/>
        <v>7069.6473709515476</v>
      </c>
      <c r="AB5" s="6">
        <f t="shared" si="0"/>
        <v>6696.1155966099814</v>
      </c>
      <c r="AC5" s="6">
        <f t="shared" si="0"/>
        <v>6278.3604860495643</v>
      </c>
      <c r="AD5" s="6">
        <f t="shared" si="0"/>
        <v>5913.1887469014755</v>
      </c>
      <c r="AE5" s="6">
        <f t="shared" si="0"/>
        <v>5520.9905727154255</v>
      </c>
      <c r="AF5" s="6">
        <f t="shared" si="0"/>
        <v>5099.4391185473878</v>
      </c>
      <c r="AG5" s="6">
        <f t="shared" si="0"/>
        <v>4647.0379018151552</v>
      </c>
      <c r="AH5" s="6">
        <f t="shared" si="0"/>
        <v>4162.2347095516525</v>
      </c>
      <c r="AI5" s="6">
        <f t="shared" si="0"/>
        <v>3643.4086268274691</v>
      </c>
      <c r="AJ5" s="6">
        <f t="shared" si="0"/>
        <v>3088.8670441897393</v>
      </c>
      <c r="AK5" s="6">
        <f t="shared" si="0"/>
        <v>2496.8426654762015</v>
      </c>
      <c r="AL5" s="6">
        <f t="shared" si="0"/>
        <v>1865.4903961336115</v>
      </c>
      <c r="AM5" s="6">
        <f t="shared" ref="AM5:AN5" si="1">+SUM(AM28:AM33)</f>
        <v>1192.8841059163021</v>
      </c>
      <c r="AN5" s="6">
        <f t="shared" si="1"/>
        <v>477.01326096928113</v>
      </c>
    </row>
    <row r="7" spans="3:40" x14ac:dyDescent="0.35">
      <c r="D7" s="5">
        <v>2022</v>
      </c>
      <c r="E7" s="5">
        <f>+D7+1</f>
        <v>2023</v>
      </c>
      <c r="F7" s="5">
        <f t="shared" ref="F7:AN7" si="2">+E7+1</f>
        <v>2024</v>
      </c>
      <c r="G7" s="5">
        <f t="shared" si="2"/>
        <v>2025</v>
      </c>
      <c r="H7" s="5">
        <f t="shared" si="2"/>
        <v>2026</v>
      </c>
      <c r="I7" s="5">
        <f t="shared" si="2"/>
        <v>2027</v>
      </c>
      <c r="J7" s="5">
        <f t="shared" si="2"/>
        <v>2028</v>
      </c>
      <c r="K7" s="5">
        <f t="shared" si="2"/>
        <v>2029</v>
      </c>
      <c r="L7" s="5">
        <f t="shared" si="2"/>
        <v>2030</v>
      </c>
      <c r="M7" s="5">
        <f t="shared" si="2"/>
        <v>2031</v>
      </c>
      <c r="N7" s="5">
        <f t="shared" si="2"/>
        <v>2032</v>
      </c>
      <c r="O7" s="5">
        <f t="shared" si="2"/>
        <v>2033</v>
      </c>
      <c r="P7" s="5">
        <f t="shared" si="2"/>
        <v>2034</v>
      </c>
      <c r="Q7" s="5">
        <f t="shared" si="2"/>
        <v>2035</v>
      </c>
      <c r="R7" s="5">
        <f t="shared" si="2"/>
        <v>2036</v>
      </c>
      <c r="S7" s="5">
        <f t="shared" si="2"/>
        <v>2037</v>
      </c>
      <c r="T7" s="5">
        <f t="shared" si="2"/>
        <v>2038</v>
      </c>
      <c r="U7" s="5">
        <f t="shared" si="2"/>
        <v>2039</v>
      </c>
      <c r="V7" s="5">
        <f t="shared" si="2"/>
        <v>2040</v>
      </c>
      <c r="W7" s="5">
        <f t="shared" si="2"/>
        <v>2041</v>
      </c>
      <c r="X7" s="5">
        <f t="shared" si="2"/>
        <v>2042</v>
      </c>
      <c r="Y7" s="5">
        <f t="shared" si="2"/>
        <v>2043</v>
      </c>
      <c r="Z7" s="5">
        <f t="shared" si="2"/>
        <v>2044</v>
      </c>
      <c r="AA7" s="5">
        <f t="shared" si="2"/>
        <v>2045</v>
      </c>
      <c r="AB7" s="5">
        <f t="shared" si="2"/>
        <v>2046</v>
      </c>
      <c r="AC7" s="5">
        <f t="shared" si="2"/>
        <v>2047</v>
      </c>
      <c r="AD7" s="5">
        <f t="shared" si="2"/>
        <v>2048</v>
      </c>
      <c r="AE7" s="5">
        <f t="shared" si="2"/>
        <v>2049</v>
      </c>
      <c r="AF7" s="5">
        <f t="shared" si="2"/>
        <v>2050</v>
      </c>
      <c r="AG7" s="5">
        <f t="shared" si="2"/>
        <v>2051</v>
      </c>
      <c r="AH7" s="5">
        <f t="shared" si="2"/>
        <v>2052</v>
      </c>
      <c r="AI7" s="5">
        <f t="shared" si="2"/>
        <v>2053</v>
      </c>
      <c r="AJ7" s="5">
        <f t="shared" si="2"/>
        <v>2054</v>
      </c>
      <c r="AK7" s="5">
        <f t="shared" si="2"/>
        <v>2055</v>
      </c>
      <c r="AL7" s="5">
        <f t="shared" si="2"/>
        <v>2056</v>
      </c>
      <c r="AM7" s="5">
        <f t="shared" si="2"/>
        <v>2057</v>
      </c>
      <c r="AN7" s="5">
        <f t="shared" si="2"/>
        <v>2058</v>
      </c>
    </row>
    <row r="8" spans="3:40" x14ac:dyDescent="0.35">
      <c r="D8" s="2">
        <f>PV(D10,25,D19)</f>
        <v>6837.4716954618543</v>
      </c>
    </row>
    <row r="9" spans="3:40" x14ac:dyDescent="0.35">
      <c r="D9">
        <v>54</v>
      </c>
      <c r="E9">
        <f>+D9+1</f>
        <v>55</v>
      </c>
      <c r="F9">
        <f t="shared" ref="F9:AC9" si="3">+E9+1</f>
        <v>56</v>
      </c>
      <c r="G9">
        <f t="shared" si="3"/>
        <v>57</v>
      </c>
      <c r="H9">
        <f t="shared" si="3"/>
        <v>58</v>
      </c>
      <c r="I9">
        <f t="shared" si="3"/>
        <v>59</v>
      </c>
      <c r="J9">
        <f t="shared" si="3"/>
        <v>60</v>
      </c>
      <c r="K9">
        <f t="shared" si="3"/>
        <v>61</v>
      </c>
      <c r="L9">
        <f t="shared" si="3"/>
        <v>62</v>
      </c>
      <c r="M9">
        <f t="shared" si="3"/>
        <v>63</v>
      </c>
      <c r="N9">
        <f t="shared" si="3"/>
        <v>64</v>
      </c>
      <c r="O9">
        <f t="shared" si="3"/>
        <v>65</v>
      </c>
      <c r="P9">
        <f t="shared" si="3"/>
        <v>66</v>
      </c>
      <c r="Q9">
        <f t="shared" si="3"/>
        <v>67</v>
      </c>
      <c r="R9">
        <f t="shared" si="3"/>
        <v>68</v>
      </c>
      <c r="S9">
        <f t="shared" si="3"/>
        <v>69</v>
      </c>
      <c r="T9">
        <f t="shared" si="3"/>
        <v>70</v>
      </c>
      <c r="U9">
        <f t="shared" si="3"/>
        <v>71</v>
      </c>
      <c r="V9">
        <f t="shared" si="3"/>
        <v>72</v>
      </c>
      <c r="W9">
        <f t="shared" si="3"/>
        <v>73</v>
      </c>
      <c r="X9">
        <f t="shared" si="3"/>
        <v>74</v>
      </c>
      <c r="Y9">
        <f t="shared" si="3"/>
        <v>75</v>
      </c>
      <c r="Z9">
        <f t="shared" si="3"/>
        <v>76</v>
      </c>
      <c r="AA9">
        <f t="shared" si="3"/>
        <v>77</v>
      </c>
      <c r="AB9">
        <f t="shared" si="3"/>
        <v>78</v>
      </c>
      <c r="AC9">
        <f t="shared" si="3"/>
        <v>79</v>
      </c>
      <c r="AD9">
        <f t="shared" ref="AD9" si="4">+AC9+1</f>
        <v>80</v>
      </c>
      <c r="AE9">
        <f t="shared" ref="AE9" si="5">+AD9+1</f>
        <v>81</v>
      </c>
      <c r="AF9">
        <f t="shared" ref="AF9" si="6">+AE9+1</f>
        <v>82</v>
      </c>
      <c r="AG9">
        <f t="shared" ref="AG9" si="7">+AF9+1</f>
        <v>83</v>
      </c>
      <c r="AH9">
        <f t="shared" ref="AH9" si="8">+AG9+1</f>
        <v>84</v>
      </c>
      <c r="AI9">
        <f t="shared" ref="AI9:AN9" si="9">+AH9+1</f>
        <v>85</v>
      </c>
      <c r="AJ9">
        <f t="shared" si="9"/>
        <v>86</v>
      </c>
      <c r="AK9">
        <f t="shared" si="9"/>
        <v>87</v>
      </c>
      <c r="AL9">
        <f t="shared" si="9"/>
        <v>88</v>
      </c>
      <c r="AM9">
        <f t="shared" si="9"/>
        <v>89</v>
      </c>
      <c r="AN9">
        <f t="shared" si="9"/>
        <v>90</v>
      </c>
    </row>
    <row r="10" spans="3:40" s="3" customFormat="1" x14ac:dyDescent="0.35">
      <c r="D10" s="4">
        <v>1.4999999999999999E-2</v>
      </c>
      <c r="E10" s="4">
        <v>0.03</v>
      </c>
      <c r="F10" s="4">
        <v>0.03</v>
      </c>
      <c r="G10" s="4">
        <v>0.04</v>
      </c>
      <c r="H10" s="4">
        <v>0.05</v>
      </c>
      <c r="I10" s="3">
        <f t="shared" ref="I10:P10" si="10">+H10</f>
        <v>0.05</v>
      </c>
      <c r="J10" s="3">
        <f t="shared" si="10"/>
        <v>0.05</v>
      </c>
      <c r="K10" s="3">
        <f t="shared" si="10"/>
        <v>0.05</v>
      </c>
      <c r="L10" s="3">
        <f t="shared" si="10"/>
        <v>0.05</v>
      </c>
      <c r="M10" s="3">
        <f t="shared" si="10"/>
        <v>0.05</v>
      </c>
      <c r="N10" s="3">
        <f t="shared" si="10"/>
        <v>0.05</v>
      </c>
      <c r="O10" s="3">
        <f t="shared" si="10"/>
        <v>0.05</v>
      </c>
      <c r="P10" s="3">
        <f t="shared" si="10"/>
        <v>0.05</v>
      </c>
      <c r="Q10" s="3">
        <f t="shared" ref="Q10:AC10" si="11">+P10</f>
        <v>0.05</v>
      </c>
      <c r="R10" s="3">
        <f t="shared" si="11"/>
        <v>0.05</v>
      </c>
      <c r="S10" s="3">
        <f t="shared" si="11"/>
        <v>0.05</v>
      </c>
      <c r="T10" s="3">
        <f t="shared" si="11"/>
        <v>0.05</v>
      </c>
      <c r="U10" s="3">
        <f t="shared" si="11"/>
        <v>0.05</v>
      </c>
      <c r="V10" s="3">
        <f t="shared" si="11"/>
        <v>0.05</v>
      </c>
      <c r="W10" s="3">
        <f t="shared" si="11"/>
        <v>0.05</v>
      </c>
      <c r="X10" s="3">
        <f t="shared" si="11"/>
        <v>0.05</v>
      </c>
      <c r="Y10" s="3">
        <f t="shared" si="11"/>
        <v>0.05</v>
      </c>
      <c r="Z10" s="3">
        <f t="shared" si="11"/>
        <v>0.05</v>
      </c>
      <c r="AA10" s="3">
        <f t="shared" si="11"/>
        <v>0.05</v>
      </c>
      <c r="AB10" s="3">
        <f t="shared" si="11"/>
        <v>0.05</v>
      </c>
      <c r="AC10" s="3">
        <f t="shared" si="11"/>
        <v>0.05</v>
      </c>
      <c r="AD10" s="3">
        <f t="shared" ref="AD10" si="12">+AC10</f>
        <v>0.05</v>
      </c>
      <c r="AE10" s="3">
        <f t="shared" ref="AE10" si="13">+AD10</f>
        <v>0.05</v>
      </c>
      <c r="AF10" s="3">
        <f t="shared" ref="AF10" si="14">+AE10</f>
        <v>0.05</v>
      </c>
      <c r="AG10" s="3">
        <f t="shared" ref="AG10" si="15">+AF10</f>
        <v>0.05</v>
      </c>
      <c r="AH10" s="3">
        <f t="shared" ref="AH10" si="16">+AG10</f>
        <v>0.05</v>
      </c>
      <c r="AI10" s="3">
        <f t="shared" ref="AI10:AN10" si="17">+AH10</f>
        <v>0.05</v>
      </c>
      <c r="AJ10" s="3">
        <f t="shared" si="17"/>
        <v>0.05</v>
      </c>
      <c r="AK10" s="3">
        <f t="shared" si="17"/>
        <v>0.05</v>
      </c>
      <c r="AL10" s="3">
        <f t="shared" si="17"/>
        <v>0.05</v>
      </c>
      <c r="AM10" s="3">
        <f t="shared" si="17"/>
        <v>0.05</v>
      </c>
      <c r="AN10" s="3">
        <f t="shared" si="17"/>
        <v>0.05</v>
      </c>
    </row>
    <row r="11" spans="3:40" x14ac:dyDescent="0.35">
      <c r="C11" t="s">
        <v>9</v>
      </c>
      <c r="D11" s="1">
        <v>2000</v>
      </c>
      <c r="E11" s="1">
        <f>+D30</f>
        <v>2000</v>
      </c>
      <c r="F11" s="1">
        <f t="shared" ref="F11:AN11" si="18">+E30</f>
        <v>2100</v>
      </c>
      <c r="G11" s="1">
        <f t="shared" si="18"/>
        <v>2100</v>
      </c>
      <c r="H11" s="1">
        <f t="shared" si="18"/>
        <v>2100</v>
      </c>
      <c r="I11" s="1">
        <f t="shared" si="18"/>
        <v>2100</v>
      </c>
      <c r="J11" s="1">
        <f t="shared" si="18"/>
        <v>2100</v>
      </c>
      <c r="K11" s="1">
        <f t="shared" si="18"/>
        <v>2100</v>
      </c>
      <c r="L11" s="1">
        <f t="shared" si="18"/>
        <v>2100</v>
      </c>
      <c r="M11" s="1">
        <f t="shared" si="18"/>
        <v>1250</v>
      </c>
      <c r="N11" s="1">
        <f t="shared" si="18"/>
        <v>1250</v>
      </c>
      <c r="O11" s="1">
        <f t="shared" si="18"/>
        <v>1250</v>
      </c>
      <c r="P11" s="1">
        <f t="shared" si="18"/>
        <v>1250</v>
      </c>
      <c r="Q11" s="1">
        <f t="shared" si="18"/>
        <v>1250</v>
      </c>
      <c r="R11" s="1">
        <f t="shared" si="18"/>
        <v>1250</v>
      </c>
      <c r="S11" s="1">
        <f t="shared" si="18"/>
        <v>1250</v>
      </c>
      <c r="T11" s="1">
        <f t="shared" si="18"/>
        <v>1250</v>
      </c>
      <c r="U11" s="1">
        <f t="shared" si="18"/>
        <v>1250</v>
      </c>
      <c r="V11" s="1">
        <f t="shared" si="18"/>
        <v>1250</v>
      </c>
      <c r="W11" s="1">
        <f t="shared" si="18"/>
        <v>1250</v>
      </c>
      <c r="X11" s="1">
        <f t="shared" si="18"/>
        <v>1250</v>
      </c>
      <c r="Y11" s="1">
        <f t="shared" si="18"/>
        <v>1250</v>
      </c>
      <c r="Z11" s="1">
        <f t="shared" si="18"/>
        <v>1250</v>
      </c>
      <c r="AA11" s="1">
        <f t="shared" si="18"/>
        <v>1250</v>
      </c>
      <c r="AB11" s="1">
        <f t="shared" si="18"/>
        <v>1250</v>
      </c>
      <c r="AC11" s="1">
        <f t="shared" si="18"/>
        <v>1250</v>
      </c>
      <c r="AD11" s="1">
        <f t="shared" si="18"/>
        <v>1250</v>
      </c>
      <c r="AE11" s="1">
        <f t="shared" si="18"/>
        <v>1250</v>
      </c>
      <c r="AF11" s="1">
        <f t="shared" si="18"/>
        <v>1250</v>
      </c>
      <c r="AG11" s="1">
        <f t="shared" si="18"/>
        <v>1250</v>
      </c>
      <c r="AH11" s="1">
        <f t="shared" si="18"/>
        <v>1250</v>
      </c>
      <c r="AI11" s="1">
        <f t="shared" si="18"/>
        <v>1250</v>
      </c>
      <c r="AJ11" s="1">
        <f t="shared" si="18"/>
        <v>1250</v>
      </c>
      <c r="AK11" s="1">
        <f t="shared" si="18"/>
        <v>1250</v>
      </c>
      <c r="AL11" s="1">
        <f t="shared" si="18"/>
        <v>1250</v>
      </c>
      <c r="AM11" s="1">
        <f t="shared" si="18"/>
        <v>1250</v>
      </c>
      <c r="AN11" s="1">
        <f t="shared" si="18"/>
        <v>1250</v>
      </c>
    </row>
    <row r="12" spans="3:40" x14ac:dyDescent="0.35">
      <c r="C12" t="s">
        <v>15</v>
      </c>
      <c r="D12" s="1">
        <v>0</v>
      </c>
      <c r="E12" s="1">
        <f>+D31</f>
        <v>1000</v>
      </c>
      <c r="F12" s="1">
        <f>+E31*(1+F10/2)</f>
        <v>1014.9999999999999</v>
      </c>
      <c r="G12" s="1">
        <f t="shared" ref="G12:AN12" si="19">+F31*(1+G10/2)</f>
        <v>1035.3</v>
      </c>
      <c r="H12" s="1">
        <f t="shared" si="19"/>
        <v>1061.1824999999999</v>
      </c>
      <c r="I12" s="1">
        <f t="shared" si="19"/>
        <v>1087.7120624999998</v>
      </c>
      <c r="J12" s="1">
        <f t="shared" si="19"/>
        <v>1114.9048640624997</v>
      </c>
      <c r="K12" s="1">
        <f t="shared" si="19"/>
        <v>1142.7774856640619</v>
      </c>
      <c r="L12" s="1">
        <f t="shared" si="19"/>
        <v>1171.3469228056633</v>
      </c>
      <c r="M12" s="1">
        <f t="shared" si="19"/>
        <v>1200.6305958758048</v>
      </c>
      <c r="N12" s="1">
        <f t="shared" si="19"/>
        <v>1230.6463607726998</v>
      </c>
      <c r="O12" s="1">
        <f t="shared" si="19"/>
        <v>1261.4125197920173</v>
      </c>
      <c r="P12" s="1">
        <f t="shared" si="19"/>
        <v>1292.9478327868176</v>
      </c>
      <c r="Q12" s="1">
        <f t="shared" si="19"/>
        <v>1325.2715286064879</v>
      </c>
      <c r="R12" s="1">
        <f t="shared" si="19"/>
        <v>1358.4033168216499</v>
      </c>
      <c r="S12" s="1">
        <f t="shared" si="19"/>
        <v>1392.3633997421909</v>
      </c>
      <c r="T12" s="1">
        <f t="shared" si="19"/>
        <v>1427.1724847357457</v>
      </c>
      <c r="U12" s="1">
        <f t="shared" si="19"/>
        <v>-2.8203145860720723E-2</v>
      </c>
      <c r="V12" s="1">
        <f t="shared" si="19"/>
        <v>-2.8908224507238737E-2</v>
      </c>
      <c r="W12" s="1">
        <f t="shared" si="19"/>
        <v>-2.9630930119919702E-2</v>
      </c>
      <c r="X12" s="1">
        <f t="shared" si="19"/>
        <v>-3.0371703372917693E-2</v>
      </c>
      <c r="Y12" s="1">
        <f t="shared" si="19"/>
        <v>-3.1130995957240632E-2</v>
      </c>
      <c r="Z12" s="1">
        <f t="shared" si="19"/>
        <v>-3.1909270856171644E-2</v>
      </c>
      <c r="AA12" s="1">
        <f t="shared" si="19"/>
        <v>-3.2707002627575935E-2</v>
      </c>
      <c r="AB12" s="1">
        <f t="shared" si="19"/>
        <v>-3.352467769326533E-2</v>
      </c>
      <c r="AC12" s="1">
        <f t="shared" si="19"/>
        <v>-3.4362794635596959E-2</v>
      </c>
      <c r="AD12" s="1">
        <f t="shared" si="19"/>
        <v>-3.5221864501486878E-2</v>
      </c>
      <c r="AE12" s="1">
        <f t="shared" si="19"/>
        <v>-3.6102411114024048E-2</v>
      </c>
      <c r="AF12" s="1">
        <f t="shared" si="19"/>
        <v>-3.7004971391874648E-2</v>
      </c>
      <c r="AG12" s="1">
        <f t="shared" si="19"/>
        <v>-3.7930095676671514E-2</v>
      </c>
      <c r="AH12" s="1">
        <f t="shared" si="19"/>
        <v>-3.8878348068588302E-2</v>
      </c>
      <c r="AI12" s="1">
        <f t="shared" si="19"/>
        <v>-3.9850306770303004E-2</v>
      </c>
      <c r="AJ12" s="1">
        <f t="shared" si="19"/>
        <v>-4.0846564439560577E-2</v>
      </c>
      <c r="AK12" s="1">
        <f t="shared" si="19"/>
        <v>-4.1867728550549585E-2</v>
      </c>
      <c r="AL12" s="1">
        <f t="shared" si="19"/>
        <v>-4.2914421764313322E-2</v>
      </c>
      <c r="AM12" s="1">
        <f t="shared" si="19"/>
        <v>-4.3987282308421152E-2</v>
      </c>
      <c r="AN12" s="1">
        <f t="shared" si="19"/>
        <v>-4.5086964366131674E-2</v>
      </c>
    </row>
    <row r="13" spans="3:40" x14ac:dyDescent="0.35">
      <c r="C13" t="s">
        <v>10</v>
      </c>
      <c r="D13" s="1">
        <v>5000</v>
      </c>
      <c r="E13" s="1">
        <f>+D32</f>
        <v>5000</v>
      </c>
      <c r="F13" s="1">
        <f t="shared" ref="F13:AN13" si="20">+E32</f>
        <v>5000</v>
      </c>
      <c r="G13" s="1">
        <f t="shared" si="20"/>
        <v>5000</v>
      </c>
      <c r="H13" s="1">
        <f t="shared" si="20"/>
        <v>5000</v>
      </c>
      <c r="I13" s="1">
        <f t="shared" si="20"/>
        <v>5000</v>
      </c>
      <c r="J13" s="1">
        <f t="shared" si="20"/>
        <v>5000</v>
      </c>
      <c r="K13" s="1">
        <f t="shared" si="20"/>
        <v>5000</v>
      </c>
      <c r="L13" s="1">
        <f t="shared" si="20"/>
        <v>5000</v>
      </c>
      <c r="M13" s="1">
        <f t="shared" si="20"/>
        <v>0</v>
      </c>
      <c r="N13" s="1">
        <f t="shared" si="20"/>
        <v>0</v>
      </c>
      <c r="O13" s="1">
        <f t="shared" si="20"/>
        <v>0</v>
      </c>
      <c r="P13" s="1">
        <f t="shared" si="20"/>
        <v>0</v>
      </c>
      <c r="Q13" s="1">
        <f t="shared" si="20"/>
        <v>0</v>
      </c>
      <c r="R13" s="1">
        <f t="shared" si="20"/>
        <v>0</v>
      </c>
      <c r="S13" s="1">
        <f t="shared" si="20"/>
        <v>0</v>
      </c>
      <c r="T13" s="1">
        <f t="shared" si="20"/>
        <v>0</v>
      </c>
      <c r="U13" s="1">
        <f t="shared" si="20"/>
        <v>0</v>
      </c>
      <c r="V13" s="1">
        <f t="shared" si="20"/>
        <v>0</v>
      </c>
      <c r="W13" s="1">
        <f t="shared" si="20"/>
        <v>0</v>
      </c>
      <c r="X13" s="1">
        <f t="shared" si="20"/>
        <v>0</v>
      </c>
      <c r="Y13" s="1">
        <f t="shared" si="20"/>
        <v>0</v>
      </c>
      <c r="Z13" s="1">
        <f t="shared" si="20"/>
        <v>0</v>
      </c>
      <c r="AA13" s="1">
        <f t="shared" si="20"/>
        <v>0</v>
      </c>
      <c r="AB13" s="1">
        <f t="shared" si="20"/>
        <v>0</v>
      </c>
      <c r="AC13" s="1">
        <f t="shared" si="20"/>
        <v>0</v>
      </c>
      <c r="AD13" s="1">
        <f t="shared" si="20"/>
        <v>0</v>
      </c>
      <c r="AE13" s="1">
        <f t="shared" si="20"/>
        <v>0</v>
      </c>
      <c r="AF13" s="1">
        <f t="shared" si="20"/>
        <v>0</v>
      </c>
      <c r="AG13" s="1">
        <f t="shared" si="20"/>
        <v>0</v>
      </c>
      <c r="AH13" s="1">
        <f t="shared" si="20"/>
        <v>0</v>
      </c>
      <c r="AI13" s="1">
        <f t="shared" si="20"/>
        <v>0</v>
      </c>
      <c r="AJ13" s="1">
        <f t="shared" si="20"/>
        <v>0</v>
      </c>
      <c r="AK13" s="1">
        <f t="shared" si="20"/>
        <v>0</v>
      </c>
      <c r="AL13" s="1">
        <f t="shared" si="20"/>
        <v>0</v>
      </c>
      <c r="AM13" s="1">
        <f t="shared" si="20"/>
        <v>0</v>
      </c>
      <c r="AN13" s="1">
        <f t="shared" si="20"/>
        <v>0</v>
      </c>
    </row>
    <row r="14" spans="3:40" x14ac:dyDescent="0.35">
      <c r="C14" t="s">
        <v>3</v>
      </c>
      <c r="D14" s="1">
        <v>2400</v>
      </c>
      <c r="E14" s="1">
        <f>+D14</f>
        <v>2400</v>
      </c>
      <c r="F14" s="1">
        <f t="shared" ref="F14:AN14" si="21">+E33</f>
        <v>0</v>
      </c>
      <c r="G14" s="1">
        <f t="shared" si="21"/>
        <v>0</v>
      </c>
      <c r="H14" s="1">
        <f t="shared" si="21"/>
        <v>0</v>
      </c>
      <c r="I14" s="1">
        <f t="shared" si="21"/>
        <v>0</v>
      </c>
      <c r="J14" s="1">
        <f t="shared" si="21"/>
        <v>0</v>
      </c>
      <c r="K14" s="1">
        <f t="shared" si="21"/>
        <v>0</v>
      </c>
      <c r="L14" s="1">
        <f t="shared" si="21"/>
        <v>0</v>
      </c>
      <c r="M14" s="1">
        <f t="shared" si="21"/>
        <v>0</v>
      </c>
      <c r="N14" s="1">
        <f t="shared" si="21"/>
        <v>0</v>
      </c>
      <c r="O14" s="1">
        <f t="shared" si="21"/>
        <v>0</v>
      </c>
      <c r="P14" s="1">
        <f t="shared" si="21"/>
        <v>0</v>
      </c>
      <c r="Q14" s="1">
        <f t="shared" si="21"/>
        <v>0</v>
      </c>
      <c r="R14" s="1">
        <f t="shared" si="21"/>
        <v>0</v>
      </c>
      <c r="S14" s="1">
        <f t="shared" si="21"/>
        <v>0</v>
      </c>
      <c r="T14" s="1">
        <f t="shared" si="21"/>
        <v>0</v>
      </c>
      <c r="U14" s="1">
        <f t="shared" si="21"/>
        <v>0</v>
      </c>
      <c r="V14" s="1">
        <f t="shared" si="21"/>
        <v>0</v>
      </c>
      <c r="W14" s="1">
        <f t="shared" si="21"/>
        <v>0</v>
      </c>
      <c r="X14" s="1">
        <f t="shared" si="21"/>
        <v>0</v>
      </c>
      <c r="Y14" s="1">
        <f t="shared" si="21"/>
        <v>0</v>
      </c>
      <c r="Z14" s="1">
        <f t="shared" si="21"/>
        <v>0</v>
      </c>
      <c r="AA14" s="1">
        <f t="shared" si="21"/>
        <v>0</v>
      </c>
      <c r="AB14" s="1">
        <f t="shared" si="21"/>
        <v>0</v>
      </c>
      <c r="AC14" s="1">
        <f t="shared" si="21"/>
        <v>0</v>
      </c>
      <c r="AD14" s="1">
        <f t="shared" si="21"/>
        <v>0</v>
      </c>
      <c r="AE14" s="1">
        <f t="shared" si="21"/>
        <v>0</v>
      </c>
      <c r="AF14" s="1">
        <f t="shared" si="21"/>
        <v>0</v>
      </c>
      <c r="AG14" s="1">
        <f t="shared" si="21"/>
        <v>0</v>
      </c>
      <c r="AH14" s="1">
        <f t="shared" si="21"/>
        <v>0</v>
      </c>
      <c r="AI14" s="1">
        <f t="shared" si="21"/>
        <v>0</v>
      </c>
      <c r="AJ14" s="1">
        <f t="shared" si="21"/>
        <v>0</v>
      </c>
      <c r="AK14" s="1">
        <f t="shared" si="21"/>
        <v>0</v>
      </c>
      <c r="AL14" s="1">
        <f t="shared" si="21"/>
        <v>0</v>
      </c>
      <c r="AM14" s="1">
        <f t="shared" si="21"/>
        <v>0</v>
      </c>
      <c r="AN14" s="1">
        <f t="shared" si="21"/>
        <v>0</v>
      </c>
    </row>
    <row r="15" spans="3:40" x14ac:dyDescent="0.35">
      <c r="C15" t="s">
        <v>14</v>
      </c>
      <c r="D15" s="1">
        <f>+D42</f>
        <v>2193.7999999999997</v>
      </c>
      <c r="E15" s="1">
        <f>+D28</f>
        <v>1550.7069999999999</v>
      </c>
      <c r="F15" s="1">
        <f t="shared" ref="F15:P15" si="22">+E28</f>
        <v>4386.3305299999993</v>
      </c>
      <c r="G15" s="1">
        <f t="shared" si="22"/>
        <v>3742.8803554999995</v>
      </c>
      <c r="H15" s="1">
        <f t="shared" si="22"/>
        <v>3670.1994899039992</v>
      </c>
      <c r="I15" s="1">
        <f t="shared" si="22"/>
        <v>3607.534350486399</v>
      </c>
      <c r="J15" s="1">
        <f t="shared" si="22"/>
        <v>3513.2150950693713</v>
      </c>
      <c r="K15" s="1">
        <f t="shared" si="22"/>
        <v>3393.4912875779405</v>
      </c>
      <c r="L15" s="1">
        <f t="shared" si="22"/>
        <v>3246.3903239509659</v>
      </c>
      <c r="M15" s="1">
        <f t="shared" si="22"/>
        <v>8669.7116089321626</v>
      </c>
      <c r="N15" s="1">
        <f t="shared" si="22"/>
        <v>7351.1110978416209</v>
      </c>
      <c r="O15" s="1">
        <f t="shared" si="22"/>
        <v>7075.3939989208375</v>
      </c>
      <c r="P15" s="1">
        <f t="shared" si="22"/>
        <v>6774.2909530765273</v>
      </c>
      <c r="Q15" s="1">
        <f t="shared" ref="Q15:AC15" si="23">+P28</f>
        <v>6532.6353598013166</v>
      </c>
      <c r="R15" s="1">
        <f t="shared" si="23"/>
        <v>6357.2520973280825</v>
      </c>
      <c r="S15" s="1">
        <f t="shared" si="23"/>
        <v>6254.4663850759434</v>
      </c>
      <c r="T15" s="1">
        <f t="shared" si="23"/>
        <v>6131.0237504770212</v>
      </c>
      <c r="U15" s="1">
        <f t="shared" si="23"/>
        <v>7411.3263299860355</v>
      </c>
      <c r="V15" s="1">
        <f t="shared" si="23"/>
        <v>7288.5272098342157</v>
      </c>
      <c r="W15" s="1">
        <f t="shared" si="23"/>
        <v>7123.2348557146061</v>
      </c>
      <c r="X15" s="1">
        <f t="shared" si="23"/>
        <v>6929.112344238848</v>
      </c>
      <c r="Y15" s="1">
        <f t="shared" si="23"/>
        <v>6704.126130163163</v>
      </c>
      <c r="Z15" s="1">
        <f t="shared" si="23"/>
        <v>6445.9219362598387</v>
      </c>
      <c r="AA15" s="1">
        <f t="shared" si="23"/>
        <v>6151.994321290349</v>
      </c>
      <c r="AB15" s="1">
        <f t="shared" si="23"/>
        <v>5819.6800779541754</v>
      </c>
      <c r="AC15" s="1">
        <f t="shared" si="23"/>
        <v>5446.1491212876745</v>
      </c>
      <c r="AD15" s="1">
        <f t="shared" ref="AD15" si="24">+AC28</f>
        <v>5028.3948488442002</v>
      </c>
      <c r="AE15" s="1">
        <f t="shared" ref="AE15" si="25">+AD28</f>
        <v>4663.2239687659767</v>
      </c>
      <c r="AF15" s="1">
        <f t="shared" ref="AF15" si="26">+AE28</f>
        <v>4271.0266751265399</v>
      </c>
      <c r="AG15" s="1">
        <f t="shared" ref="AG15" si="27">+AF28</f>
        <v>3849.4761235187793</v>
      </c>
      <c r="AH15" s="1">
        <f t="shared" ref="AH15" si="28">+AG28</f>
        <v>3397.0758319108322</v>
      </c>
      <c r="AI15" s="1">
        <f t="shared" ref="AI15:AN15" si="29">+AH28</f>
        <v>2912.2735878997214</v>
      </c>
      <c r="AJ15" s="1">
        <f t="shared" si="29"/>
        <v>2393.4484771342395</v>
      </c>
      <c r="AK15" s="1">
        <f t="shared" si="29"/>
        <v>1838.9078907541789</v>
      </c>
      <c r="AL15" s="1">
        <f t="shared" si="29"/>
        <v>1246.884533204752</v>
      </c>
      <c r="AM15" s="1">
        <f t="shared" si="29"/>
        <v>615.53331055537603</v>
      </c>
      <c r="AN15" s="1">
        <f t="shared" si="29"/>
        <v>-57.071906801389531</v>
      </c>
    </row>
    <row r="16" spans="3:40" x14ac:dyDescent="0.35"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3:40" x14ac:dyDescent="0.35">
      <c r="C17" t="s">
        <v>2</v>
      </c>
      <c r="D17" s="1">
        <f t="shared" ref="D17:AL17" si="30">+D15*D10</f>
        <v>32.906999999999996</v>
      </c>
      <c r="E17" s="1">
        <f t="shared" si="30"/>
        <v>46.521209999999996</v>
      </c>
      <c r="F17" s="1">
        <f>+F15*F10</f>
        <v>131.58991589999997</v>
      </c>
      <c r="G17" s="1">
        <f t="shared" si="30"/>
        <v>149.71521421999998</v>
      </c>
      <c r="H17" s="1">
        <f t="shared" si="30"/>
        <v>183.50997449519997</v>
      </c>
      <c r="I17" s="1">
        <f t="shared" si="30"/>
        <v>180.37671752431996</v>
      </c>
      <c r="J17" s="1">
        <f t="shared" si="30"/>
        <v>175.66075475346858</v>
      </c>
      <c r="K17" s="1">
        <f t="shared" si="30"/>
        <v>169.67456437889703</v>
      </c>
      <c r="L17" s="1">
        <f t="shared" si="30"/>
        <v>162.3195161975483</v>
      </c>
      <c r="M17" s="1">
        <f t="shared" si="30"/>
        <v>433.48558044660814</v>
      </c>
      <c r="N17" s="1">
        <f t="shared" si="30"/>
        <v>367.55555489208109</v>
      </c>
      <c r="O17" s="1">
        <f t="shared" si="30"/>
        <v>353.7696999460419</v>
      </c>
      <c r="P17" s="1">
        <f t="shared" si="30"/>
        <v>338.7145476538264</v>
      </c>
      <c r="Q17" s="1">
        <f t="shared" si="30"/>
        <v>326.63176799006584</v>
      </c>
      <c r="R17" s="1">
        <f t="shared" si="30"/>
        <v>317.86260486640413</v>
      </c>
      <c r="S17" s="1">
        <f t="shared" si="30"/>
        <v>312.72331925379717</v>
      </c>
      <c r="T17" s="1">
        <f t="shared" si="30"/>
        <v>306.55118752385107</v>
      </c>
      <c r="U17" s="1">
        <f t="shared" si="30"/>
        <v>370.56631649930182</v>
      </c>
      <c r="V17" s="1">
        <f t="shared" si="30"/>
        <v>364.4263604917108</v>
      </c>
      <c r="W17" s="1">
        <f t="shared" si="30"/>
        <v>356.16174278573033</v>
      </c>
      <c r="X17" s="1">
        <f t="shared" si="30"/>
        <v>346.45561721194241</v>
      </c>
      <c r="Y17" s="1">
        <f t="shared" si="30"/>
        <v>335.20630650815815</v>
      </c>
      <c r="Z17" s="1">
        <f t="shared" si="30"/>
        <v>322.29609681299195</v>
      </c>
      <c r="AA17" s="1">
        <f t="shared" si="30"/>
        <v>307.59971606451745</v>
      </c>
      <c r="AB17" s="1">
        <f t="shared" si="30"/>
        <v>290.98400389770876</v>
      </c>
      <c r="AC17" s="1">
        <f t="shared" si="30"/>
        <v>272.30745606438376</v>
      </c>
      <c r="AD17" s="1">
        <f t="shared" si="30"/>
        <v>251.41974244221001</v>
      </c>
      <c r="AE17" s="1">
        <f t="shared" si="30"/>
        <v>233.16119843829884</v>
      </c>
      <c r="AF17" s="1">
        <f t="shared" si="30"/>
        <v>213.55133375632701</v>
      </c>
      <c r="AG17" s="1">
        <f t="shared" si="30"/>
        <v>192.47380617593899</v>
      </c>
      <c r="AH17" s="1">
        <f t="shared" si="30"/>
        <v>169.85379159554162</v>
      </c>
      <c r="AI17" s="1">
        <f t="shared" si="30"/>
        <v>145.61367939498606</v>
      </c>
      <c r="AJ17" s="1">
        <f t="shared" si="30"/>
        <v>119.67242385671199</v>
      </c>
      <c r="AK17" s="1">
        <f t="shared" si="30"/>
        <v>91.94539453770895</v>
      </c>
      <c r="AL17" s="1">
        <f t="shared" si="30"/>
        <v>62.344226660237602</v>
      </c>
      <c r="AM17" s="1">
        <f t="shared" ref="AM17:AN17" si="31">+AM15*AM10</f>
        <v>30.776665527768802</v>
      </c>
      <c r="AN17" s="1">
        <f t="shared" si="31"/>
        <v>-2.8535953400694769</v>
      </c>
    </row>
    <row r="18" spans="3:40" x14ac:dyDescent="0.35">
      <c r="C18" t="s">
        <v>16</v>
      </c>
      <c r="D18" s="1">
        <v>5</v>
      </c>
      <c r="E18" s="1">
        <f>+E12*0.015</f>
        <v>15</v>
      </c>
      <c r="F18" s="1">
        <f t="shared" ref="F18:AL18" si="32">+F12*0.015</f>
        <v>15.224999999999998</v>
      </c>
      <c r="G18" s="1">
        <f t="shared" si="32"/>
        <v>15.529499999999999</v>
      </c>
      <c r="H18" s="1">
        <f t="shared" si="32"/>
        <v>15.917737499999998</v>
      </c>
      <c r="I18" s="1">
        <f t="shared" si="32"/>
        <v>16.315680937499994</v>
      </c>
      <c r="J18" s="1">
        <f t="shared" si="32"/>
        <v>16.723572960937496</v>
      </c>
      <c r="K18" s="1">
        <f t="shared" si="32"/>
        <v>17.14166228496093</v>
      </c>
      <c r="L18" s="1">
        <f t="shared" si="32"/>
        <v>17.57020384208495</v>
      </c>
      <c r="M18" s="1">
        <f t="shared" si="32"/>
        <v>18.009458938137072</v>
      </c>
      <c r="N18" s="1">
        <f t="shared" si="32"/>
        <v>18.459695411590499</v>
      </c>
      <c r="O18" s="1">
        <f t="shared" si="32"/>
        <v>18.921187796880258</v>
      </c>
      <c r="P18" s="1">
        <f t="shared" si="32"/>
        <v>19.394217491802262</v>
      </c>
      <c r="Q18" s="1">
        <f t="shared" si="32"/>
        <v>19.879072929097319</v>
      </c>
      <c r="R18" s="1">
        <f t="shared" si="32"/>
        <v>20.376049752324747</v>
      </c>
      <c r="S18" s="1">
        <f t="shared" si="32"/>
        <v>20.885450996132864</v>
      </c>
      <c r="T18" s="1">
        <f t="shared" si="32"/>
        <v>21.407587271036185</v>
      </c>
      <c r="U18" s="1">
        <f t="shared" si="32"/>
        <v>-4.2304718791081084E-4</v>
      </c>
      <c r="V18" s="1">
        <f t="shared" si="32"/>
        <v>-4.3362336760858106E-4</v>
      </c>
      <c r="W18" s="1">
        <f t="shared" si="32"/>
        <v>-4.4446395179879552E-4</v>
      </c>
      <c r="X18" s="1">
        <f t="shared" si="32"/>
        <v>-4.5557555059376541E-4</v>
      </c>
      <c r="Y18" s="1">
        <f t="shared" si="32"/>
        <v>-4.6696493935860945E-4</v>
      </c>
      <c r="Z18" s="1">
        <f t="shared" si="32"/>
        <v>-4.7863906284257462E-4</v>
      </c>
      <c r="AA18" s="1">
        <f t="shared" si="32"/>
        <v>-4.9060503941363899E-4</v>
      </c>
      <c r="AB18" s="1">
        <f t="shared" si="32"/>
        <v>-5.0287016539897998E-4</v>
      </c>
      <c r="AC18" s="1">
        <f t="shared" si="32"/>
        <v>-5.1544191953395435E-4</v>
      </c>
      <c r="AD18" s="1">
        <f t="shared" si="32"/>
        <v>-5.2832796752230315E-4</v>
      </c>
      <c r="AE18" s="1">
        <f t="shared" si="32"/>
        <v>-5.415361667103607E-4</v>
      </c>
      <c r="AF18" s="1">
        <f t="shared" si="32"/>
        <v>-5.5507457087811975E-4</v>
      </c>
      <c r="AG18" s="1">
        <f t="shared" si="32"/>
        <v>-5.6895143515007271E-4</v>
      </c>
      <c r="AH18" s="1">
        <f t="shared" si="32"/>
        <v>-5.8317522102882449E-4</v>
      </c>
      <c r="AI18" s="1">
        <f t="shared" si="32"/>
        <v>-5.9775460155454504E-4</v>
      </c>
      <c r="AJ18" s="1">
        <f t="shared" si="32"/>
        <v>-6.1269846659340861E-4</v>
      </c>
      <c r="AK18" s="1">
        <f t="shared" si="32"/>
        <v>-6.2801592825824371E-4</v>
      </c>
      <c r="AL18" s="1">
        <f t="shared" si="32"/>
        <v>-6.437163264646998E-4</v>
      </c>
      <c r="AM18" s="1">
        <f t="shared" ref="AM18:AN18" si="33">+AM12*0.015</f>
        <v>-6.5980923462631721E-4</v>
      </c>
      <c r="AN18" s="1">
        <f t="shared" si="33"/>
        <v>-6.7630446549197512E-4</v>
      </c>
    </row>
    <row r="19" spans="3:40" x14ac:dyDescent="0.35">
      <c r="C19" t="s">
        <v>0</v>
      </c>
      <c r="D19" s="1">
        <v>-330</v>
      </c>
      <c r="E19" s="1">
        <v>-370</v>
      </c>
      <c r="F19" s="1">
        <f t="shared" ref="F19:O19" si="34">+E19*(1+F10)</f>
        <v>-381.1</v>
      </c>
      <c r="G19" s="1">
        <f t="shared" si="34"/>
        <v>-396.34400000000005</v>
      </c>
      <c r="H19" s="1">
        <f t="shared" si="34"/>
        <v>-416.16120000000006</v>
      </c>
      <c r="I19" s="1">
        <f t="shared" si="34"/>
        <v>-436.96926000000008</v>
      </c>
      <c r="J19" s="1">
        <f t="shared" si="34"/>
        <v>-458.81772300000011</v>
      </c>
      <c r="K19" s="1">
        <f t="shared" si="34"/>
        <v>-481.75860915000015</v>
      </c>
      <c r="L19" s="1">
        <f t="shared" si="34"/>
        <v>-505.84653960750018</v>
      </c>
      <c r="M19" s="1">
        <f t="shared" si="34"/>
        <v>-531.13886658787521</v>
      </c>
      <c r="N19" s="1">
        <f t="shared" si="34"/>
        <v>-557.695809917269</v>
      </c>
      <c r="O19" s="1">
        <f t="shared" si="34"/>
        <v>-585.58060041313252</v>
      </c>
      <c r="P19" s="1">
        <f>+O19*(1+P10)+100</f>
        <v>-514.85963043378922</v>
      </c>
      <c r="Q19" s="1">
        <f>+P19*(1+Q10)+100</f>
        <v>-440.60261195547866</v>
      </c>
      <c r="R19" s="1">
        <f t="shared" ref="R19" si="35">+Q19*(1+R10)+100</f>
        <v>-362.63274255325263</v>
      </c>
      <c r="S19" s="1">
        <f>+R19*(1+S10)</f>
        <v>-380.76437968091528</v>
      </c>
      <c r="T19" s="1">
        <f t="shared" ref="T19:AC19" si="36">+S19*(1+T10)</f>
        <v>-399.80259866496107</v>
      </c>
      <c r="U19" s="1">
        <f t="shared" si="36"/>
        <v>-419.79272859820912</v>
      </c>
      <c r="V19" s="1">
        <f t="shared" si="36"/>
        <v>-440.78236502811961</v>
      </c>
      <c r="W19" s="1">
        <f t="shared" si="36"/>
        <v>-462.82148327952564</v>
      </c>
      <c r="X19" s="1">
        <f t="shared" si="36"/>
        <v>-485.96255744350196</v>
      </c>
      <c r="Y19" s="1">
        <f t="shared" si="36"/>
        <v>-510.26068531567711</v>
      </c>
      <c r="Z19" s="1">
        <f t="shared" si="36"/>
        <v>-535.77371958146102</v>
      </c>
      <c r="AA19" s="1">
        <f t="shared" si="36"/>
        <v>-562.5624055605341</v>
      </c>
      <c r="AB19" s="1">
        <f t="shared" si="36"/>
        <v>-590.6905258385608</v>
      </c>
      <c r="AC19" s="1">
        <f t="shared" si="36"/>
        <v>-620.22505213048885</v>
      </c>
      <c r="AD19" s="1">
        <f>+AC19*(1+AD10)+100</f>
        <v>-551.23630473701337</v>
      </c>
      <c r="AE19" s="1">
        <f>+AD19*(1+AE10/2)</f>
        <v>-565.01721235543869</v>
      </c>
      <c r="AF19" s="1">
        <f t="shared" ref="AF19:AN19" si="37">+AE19*(1+AF10/2)</f>
        <v>-579.14264266432463</v>
      </c>
      <c r="AG19" s="1">
        <f t="shared" si="37"/>
        <v>-593.62120873093272</v>
      </c>
      <c r="AH19" s="1">
        <f t="shared" si="37"/>
        <v>-608.46173894920594</v>
      </c>
      <c r="AI19" s="1">
        <f t="shared" si="37"/>
        <v>-623.67328242293604</v>
      </c>
      <c r="AJ19" s="1">
        <f t="shared" si="37"/>
        <v>-639.26511448350936</v>
      </c>
      <c r="AK19" s="1">
        <f t="shared" si="37"/>
        <v>-655.246742345597</v>
      </c>
      <c r="AL19" s="1">
        <f t="shared" si="37"/>
        <v>-671.62791090423684</v>
      </c>
      <c r="AM19" s="1">
        <f t="shared" si="37"/>
        <v>-688.41860867684272</v>
      </c>
      <c r="AN19" s="1">
        <f t="shared" si="37"/>
        <v>-705.62907389376369</v>
      </c>
    </row>
    <row r="20" spans="3:40" x14ac:dyDescent="0.35">
      <c r="C20" t="s">
        <v>12</v>
      </c>
      <c r="D20" s="1">
        <v>500</v>
      </c>
      <c r="E20" s="1">
        <v>600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3:40" x14ac:dyDescent="0.35">
      <c r="C21" t="s">
        <v>3</v>
      </c>
      <c r="D21" s="1"/>
      <c r="E21" s="1">
        <v>2400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3:40" x14ac:dyDescent="0.35">
      <c r="C22" t="s">
        <v>9</v>
      </c>
      <c r="D22" s="1"/>
      <c r="E22" s="1">
        <v>-100</v>
      </c>
      <c r="F22" s="1"/>
      <c r="G22" s="1"/>
      <c r="H22" s="1"/>
      <c r="I22" s="1"/>
      <c r="J22" s="1"/>
      <c r="K22" s="1"/>
      <c r="L22" s="1">
        <v>850</v>
      </c>
      <c r="M22" s="1"/>
      <c r="N22" s="1"/>
      <c r="O22" s="1"/>
      <c r="P22" s="1"/>
      <c r="Q22" s="1"/>
      <c r="R22" s="1"/>
      <c r="S22" s="1"/>
      <c r="T22" s="1">
        <v>0</v>
      </c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3:40" x14ac:dyDescent="0.35">
      <c r="C23" t="s">
        <v>19</v>
      </c>
      <c r="D23" s="1">
        <v>-1000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>
        <v>1427.2</v>
      </c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3:40" x14ac:dyDescent="0.35">
      <c r="C24" t="s">
        <v>17</v>
      </c>
      <c r="D24" s="1">
        <v>200</v>
      </c>
      <c r="E24" s="1">
        <v>300</v>
      </c>
      <c r="F24" s="1">
        <v>250</v>
      </c>
      <c r="G24" s="1">
        <f>+F24</f>
        <v>250</v>
      </c>
      <c r="H24" s="1">
        <f>+G24</f>
        <v>250</v>
      </c>
      <c r="I24" s="1">
        <f>+H24</f>
        <v>250</v>
      </c>
      <c r="J24" s="1">
        <f>+I24</f>
        <v>250</v>
      </c>
      <c r="K24" s="1">
        <f>+J24</f>
        <v>250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3:40" x14ac:dyDescent="0.35">
      <c r="C25" t="s">
        <v>18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/>
      <c r="K25" s="1"/>
      <c r="L25" s="1">
        <v>5000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3:40" x14ac:dyDescent="0.35">
      <c r="C26" t="s">
        <v>1</v>
      </c>
      <c r="D26" s="1">
        <v>-51</v>
      </c>
      <c r="E26" s="1">
        <f>-(D24+D17+D21+D25)*0.24</f>
        <v>-55.897679999999994</v>
      </c>
      <c r="F26" s="1">
        <f t="shared" ref="F26:AN26" si="38">-(E24+E17+E21+E25)*0.24</f>
        <v>-659.16509039999994</v>
      </c>
      <c r="G26" s="1">
        <f t="shared" si="38"/>
        <v>-91.581579815999987</v>
      </c>
      <c r="H26" s="1">
        <f t="shared" si="38"/>
        <v>-95.931651412799994</v>
      </c>
      <c r="I26" s="1">
        <f t="shared" si="38"/>
        <v>-104.04239387884799</v>
      </c>
      <c r="J26" s="1">
        <f t="shared" si="38"/>
        <v>-103.29041220583677</v>
      </c>
      <c r="K26" s="1">
        <f t="shared" si="38"/>
        <v>-102.15858114083247</v>
      </c>
      <c r="L26" s="1">
        <f t="shared" si="38"/>
        <v>-100.72189545093528</v>
      </c>
      <c r="M26" s="1">
        <f t="shared" si="38"/>
        <v>-1238.9566838874116</v>
      </c>
      <c r="N26" s="1">
        <f t="shared" si="38"/>
        <v>-104.03653930718595</v>
      </c>
      <c r="O26" s="1">
        <f t="shared" si="38"/>
        <v>-88.213333174099461</v>
      </c>
      <c r="P26" s="1">
        <f t="shared" si="38"/>
        <v>-84.904727987050052</v>
      </c>
      <c r="Q26" s="1">
        <f t="shared" si="38"/>
        <v>-81.291491436918335</v>
      </c>
      <c r="R26" s="1">
        <f t="shared" si="38"/>
        <v>-78.391624317615793</v>
      </c>
      <c r="S26" s="1">
        <f t="shared" si="38"/>
        <v>-76.287025167936989</v>
      </c>
      <c r="T26" s="1">
        <f t="shared" si="38"/>
        <v>-75.053596620911321</v>
      </c>
      <c r="U26" s="1">
        <f t="shared" si="38"/>
        <v>-73.572285005724254</v>
      </c>
      <c r="V26" s="1">
        <f t="shared" si="38"/>
        <v>-88.935915959832428</v>
      </c>
      <c r="W26" s="1">
        <f t="shared" si="38"/>
        <v>-87.462326518010585</v>
      </c>
      <c r="X26" s="1">
        <f t="shared" si="38"/>
        <v>-85.478818268575282</v>
      </c>
      <c r="Y26" s="1">
        <f t="shared" si="38"/>
        <v>-83.149348130866173</v>
      </c>
      <c r="Z26" s="1">
        <f t="shared" si="38"/>
        <v>-80.449513561957957</v>
      </c>
      <c r="AA26" s="1">
        <f t="shared" si="38"/>
        <v>-77.351063235118062</v>
      </c>
      <c r="AB26" s="1">
        <f t="shared" si="38"/>
        <v>-73.82393185548419</v>
      </c>
      <c r="AC26" s="1">
        <f t="shared" si="38"/>
        <v>-69.836160935450096</v>
      </c>
      <c r="AD26" s="1">
        <f t="shared" si="38"/>
        <v>-65.353789455452102</v>
      </c>
      <c r="AE26" s="1">
        <f t="shared" si="38"/>
        <v>-60.340738186130402</v>
      </c>
      <c r="AF26" s="1">
        <f t="shared" si="38"/>
        <v>-55.958687625191722</v>
      </c>
      <c r="AG26" s="1">
        <f t="shared" si="38"/>
        <v>-51.252320101518478</v>
      </c>
      <c r="AH26" s="1">
        <f t="shared" si="38"/>
        <v>-46.193713482225355</v>
      </c>
      <c r="AI26" s="1">
        <f t="shared" si="38"/>
        <v>-40.764909982929986</v>
      </c>
      <c r="AJ26" s="1">
        <f t="shared" si="38"/>
        <v>-34.947283054796657</v>
      </c>
      <c r="AK26" s="1">
        <f t="shared" si="38"/>
        <v>-28.721381725610875</v>
      </c>
      <c r="AL26" s="1">
        <f t="shared" si="38"/>
        <v>-22.066894689050148</v>
      </c>
      <c r="AM26" s="1">
        <f t="shared" si="38"/>
        <v>-14.962614398457024</v>
      </c>
      <c r="AN26" s="1">
        <f t="shared" si="38"/>
        <v>-7.3863997266645125</v>
      </c>
    </row>
    <row r="27" spans="3:40" x14ac:dyDescent="0.35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3:40" x14ac:dyDescent="0.35">
      <c r="C28" t="s">
        <v>13</v>
      </c>
      <c r="D28" s="9">
        <f>+SUM(D15:D26)</f>
        <v>1550.7069999999999</v>
      </c>
      <c r="E28" s="9">
        <f>+SUM(E15:E26)</f>
        <v>4386.3305299999993</v>
      </c>
      <c r="F28" s="9">
        <f t="shared" ref="F28:AL28" si="39">+SUM(F15:F26)</f>
        <v>3742.8803554999995</v>
      </c>
      <c r="G28" s="9">
        <f t="shared" si="39"/>
        <v>3670.1994899039992</v>
      </c>
      <c r="H28" s="9">
        <f t="shared" si="39"/>
        <v>3607.534350486399</v>
      </c>
      <c r="I28" s="9">
        <f t="shared" si="39"/>
        <v>3513.2150950693713</v>
      </c>
      <c r="J28" s="9">
        <f t="shared" si="39"/>
        <v>3393.4912875779405</v>
      </c>
      <c r="K28" s="9">
        <f t="shared" si="39"/>
        <v>3246.3903239509659</v>
      </c>
      <c r="L28" s="9">
        <f t="shared" si="39"/>
        <v>8669.7116089321626</v>
      </c>
      <c r="M28" s="9">
        <f t="shared" si="39"/>
        <v>7351.1110978416209</v>
      </c>
      <c r="N28" s="9">
        <f t="shared" si="39"/>
        <v>7075.3939989208375</v>
      </c>
      <c r="O28" s="9">
        <f t="shared" si="39"/>
        <v>6774.2909530765273</v>
      </c>
      <c r="P28" s="9">
        <f t="shared" si="39"/>
        <v>6532.6353598013166</v>
      </c>
      <c r="Q28" s="9">
        <f t="shared" si="39"/>
        <v>6357.2520973280825</v>
      </c>
      <c r="R28" s="9">
        <f t="shared" si="39"/>
        <v>6254.4663850759434</v>
      </c>
      <c r="S28" s="9">
        <f t="shared" si="39"/>
        <v>6131.0237504770212</v>
      </c>
      <c r="T28" s="9">
        <f t="shared" si="39"/>
        <v>7411.3263299860355</v>
      </c>
      <c r="U28" s="9">
        <f t="shared" si="39"/>
        <v>7288.5272098342157</v>
      </c>
      <c r="V28" s="9">
        <f t="shared" si="39"/>
        <v>7123.2348557146061</v>
      </c>
      <c r="W28" s="9">
        <f t="shared" si="39"/>
        <v>6929.112344238848</v>
      </c>
      <c r="X28" s="9">
        <f t="shared" si="39"/>
        <v>6704.126130163163</v>
      </c>
      <c r="Y28" s="9">
        <f t="shared" si="39"/>
        <v>6445.9219362598387</v>
      </c>
      <c r="Z28" s="9">
        <f t="shared" si="39"/>
        <v>6151.994321290349</v>
      </c>
      <c r="AA28" s="9">
        <f t="shared" si="39"/>
        <v>5819.6800779541754</v>
      </c>
      <c r="AB28" s="9">
        <f t="shared" si="39"/>
        <v>5446.1491212876745</v>
      </c>
      <c r="AC28" s="9">
        <f t="shared" si="39"/>
        <v>5028.3948488442002</v>
      </c>
      <c r="AD28" s="9">
        <f t="shared" si="39"/>
        <v>4663.2239687659767</v>
      </c>
      <c r="AE28" s="9">
        <f t="shared" si="39"/>
        <v>4271.0266751265399</v>
      </c>
      <c r="AF28" s="9">
        <f t="shared" si="39"/>
        <v>3849.4761235187793</v>
      </c>
      <c r="AG28" s="9">
        <f t="shared" si="39"/>
        <v>3397.0758319108322</v>
      </c>
      <c r="AH28" s="9">
        <f t="shared" si="39"/>
        <v>2912.2735878997214</v>
      </c>
      <c r="AI28" s="9">
        <f t="shared" si="39"/>
        <v>2393.4484771342395</v>
      </c>
      <c r="AJ28" s="9">
        <f t="shared" si="39"/>
        <v>1838.9078907541789</v>
      </c>
      <c r="AK28" s="9">
        <f t="shared" si="39"/>
        <v>1246.884533204752</v>
      </c>
      <c r="AL28" s="9">
        <f t="shared" si="39"/>
        <v>615.53331055537603</v>
      </c>
      <c r="AM28" s="9">
        <f t="shared" ref="AM28:AN28" si="40">+SUM(AM15:AM26)</f>
        <v>-57.071906801389531</v>
      </c>
      <c r="AN28" s="9">
        <f t="shared" si="40"/>
        <v>-772.94165206635273</v>
      </c>
    </row>
    <row r="29" spans="3:40" x14ac:dyDescent="0.35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3:40" x14ac:dyDescent="0.35">
      <c r="C30" t="s">
        <v>9</v>
      </c>
      <c r="D30" s="6">
        <f>+D11-D22</f>
        <v>2000</v>
      </c>
      <c r="E30" s="6">
        <f t="shared" ref="E30:AL30" si="41">+E11-E22</f>
        <v>2100</v>
      </c>
      <c r="F30" s="6">
        <f t="shared" si="41"/>
        <v>2100</v>
      </c>
      <c r="G30" s="6">
        <f t="shared" si="41"/>
        <v>2100</v>
      </c>
      <c r="H30" s="6">
        <f t="shared" si="41"/>
        <v>2100</v>
      </c>
      <c r="I30" s="6">
        <f t="shared" si="41"/>
        <v>2100</v>
      </c>
      <c r="J30" s="6">
        <f t="shared" si="41"/>
        <v>2100</v>
      </c>
      <c r="K30" s="6">
        <f t="shared" si="41"/>
        <v>2100</v>
      </c>
      <c r="L30" s="6">
        <f t="shared" si="41"/>
        <v>1250</v>
      </c>
      <c r="M30" s="6">
        <f t="shared" si="41"/>
        <v>1250</v>
      </c>
      <c r="N30" s="6">
        <f t="shared" si="41"/>
        <v>1250</v>
      </c>
      <c r="O30" s="6">
        <f t="shared" si="41"/>
        <v>1250</v>
      </c>
      <c r="P30" s="6">
        <f t="shared" si="41"/>
        <v>1250</v>
      </c>
      <c r="Q30" s="6">
        <f t="shared" si="41"/>
        <v>1250</v>
      </c>
      <c r="R30" s="6">
        <f t="shared" si="41"/>
        <v>1250</v>
      </c>
      <c r="S30" s="6">
        <f t="shared" si="41"/>
        <v>1250</v>
      </c>
      <c r="T30" s="6">
        <f t="shared" si="41"/>
        <v>1250</v>
      </c>
      <c r="U30" s="6">
        <f t="shared" si="41"/>
        <v>1250</v>
      </c>
      <c r="V30" s="6">
        <f t="shared" si="41"/>
        <v>1250</v>
      </c>
      <c r="W30" s="6">
        <f t="shared" si="41"/>
        <v>1250</v>
      </c>
      <c r="X30" s="6">
        <f t="shared" si="41"/>
        <v>1250</v>
      </c>
      <c r="Y30" s="6">
        <f t="shared" si="41"/>
        <v>1250</v>
      </c>
      <c r="Z30" s="6">
        <f t="shared" si="41"/>
        <v>1250</v>
      </c>
      <c r="AA30" s="6">
        <f t="shared" si="41"/>
        <v>1250</v>
      </c>
      <c r="AB30" s="6">
        <f t="shared" si="41"/>
        <v>1250</v>
      </c>
      <c r="AC30" s="6">
        <f t="shared" si="41"/>
        <v>1250</v>
      </c>
      <c r="AD30" s="6">
        <f t="shared" si="41"/>
        <v>1250</v>
      </c>
      <c r="AE30" s="6">
        <f t="shared" si="41"/>
        <v>1250</v>
      </c>
      <c r="AF30" s="6">
        <f t="shared" si="41"/>
        <v>1250</v>
      </c>
      <c r="AG30" s="6">
        <f t="shared" si="41"/>
        <v>1250</v>
      </c>
      <c r="AH30" s="6">
        <f t="shared" si="41"/>
        <v>1250</v>
      </c>
      <c r="AI30" s="6">
        <f t="shared" si="41"/>
        <v>1250</v>
      </c>
      <c r="AJ30" s="6">
        <f t="shared" si="41"/>
        <v>1250</v>
      </c>
      <c r="AK30" s="6">
        <f t="shared" si="41"/>
        <v>1250</v>
      </c>
      <c r="AL30" s="6">
        <f t="shared" si="41"/>
        <v>1250</v>
      </c>
      <c r="AM30" s="6">
        <f t="shared" ref="AM30:AN30" si="42">+AM11-AM22</f>
        <v>1250</v>
      </c>
      <c r="AN30" s="6">
        <f t="shared" si="42"/>
        <v>1250</v>
      </c>
    </row>
    <row r="31" spans="3:40" x14ac:dyDescent="0.35">
      <c r="C31" t="s">
        <v>15</v>
      </c>
      <c r="D31" s="7">
        <f>+D12-D23</f>
        <v>1000</v>
      </c>
      <c r="E31" s="7">
        <f>+E12-E23</f>
        <v>1000</v>
      </c>
      <c r="F31" s="7">
        <f t="shared" ref="F31:AL31" si="43">+F12-F23</f>
        <v>1014.9999999999999</v>
      </c>
      <c r="G31" s="7">
        <f t="shared" si="43"/>
        <v>1035.3</v>
      </c>
      <c r="H31" s="7">
        <f t="shared" si="43"/>
        <v>1061.1824999999999</v>
      </c>
      <c r="I31" s="7">
        <f t="shared" si="43"/>
        <v>1087.7120624999998</v>
      </c>
      <c r="J31" s="7">
        <f t="shared" si="43"/>
        <v>1114.9048640624997</v>
      </c>
      <c r="K31" s="7">
        <f t="shared" si="43"/>
        <v>1142.7774856640619</v>
      </c>
      <c r="L31" s="7">
        <f t="shared" si="43"/>
        <v>1171.3469228056633</v>
      </c>
      <c r="M31" s="7">
        <f t="shared" si="43"/>
        <v>1200.6305958758048</v>
      </c>
      <c r="N31" s="7">
        <f t="shared" si="43"/>
        <v>1230.6463607726998</v>
      </c>
      <c r="O31" s="7">
        <f t="shared" si="43"/>
        <v>1261.4125197920173</v>
      </c>
      <c r="P31" s="7">
        <f t="shared" si="43"/>
        <v>1292.9478327868176</v>
      </c>
      <c r="Q31" s="7">
        <f t="shared" si="43"/>
        <v>1325.2715286064879</v>
      </c>
      <c r="R31" s="7">
        <f t="shared" si="43"/>
        <v>1358.4033168216499</v>
      </c>
      <c r="S31" s="7">
        <f t="shared" si="43"/>
        <v>1392.3633997421909</v>
      </c>
      <c r="T31" s="7">
        <f t="shared" si="43"/>
        <v>-2.7515264254361682E-2</v>
      </c>
      <c r="U31" s="7">
        <f t="shared" si="43"/>
        <v>-2.8203145860720723E-2</v>
      </c>
      <c r="V31" s="7">
        <f t="shared" si="43"/>
        <v>-2.8908224507238737E-2</v>
      </c>
      <c r="W31" s="7">
        <f t="shared" si="43"/>
        <v>-2.9630930119919702E-2</v>
      </c>
      <c r="X31" s="7">
        <f t="shared" si="43"/>
        <v>-3.0371703372917693E-2</v>
      </c>
      <c r="Y31" s="7">
        <f t="shared" si="43"/>
        <v>-3.1130995957240632E-2</v>
      </c>
      <c r="Z31" s="7">
        <f t="shared" si="43"/>
        <v>-3.1909270856171644E-2</v>
      </c>
      <c r="AA31" s="7">
        <f t="shared" si="43"/>
        <v>-3.2707002627575935E-2</v>
      </c>
      <c r="AB31" s="7">
        <f t="shared" si="43"/>
        <v>-3.352467769326533E-2</v>
      </c>
      <c r="AC31" s="7">
        <f t="shared" si="43"/>
        <v>-3.4362794635596959E-2</v>
      </c>
      <c r="AD31" s="7">
        <f t="shared" si="43"/>
        <v>-3.5221864501486878E-2</v>
      </c>
      <c r="AE31" s="7">
        <f t="shared" si="43"/>
        <v>-3.6102411114024048E-2</v>
      </c>
      <c r="AF31" s="7">
        <f t="shared" si="43"/>
        <v>-3.7004971391874648E-2</v>
      </c>
      <c r="AG31" s="7">
        <f t="shared" si="43"/>
        <v>-3.7930095676671514E-2</v>
      </c>
      <c r="AH31" s="7">
        <f t="shared" si="43"/>
        <v>-3.8878348068588302E-2</v>
      </c>
      <c r="AI31" s="7">
        <f t="shared" si="43"/>
        <v>-3.9850306770303004E-2</v>
      </c>
      <c r="AJ31" s="7">
        <f t="shared" si="43"/>
        <v>-4.0846564439560577E-2</v>
      </c>
      <c r="AK31" s="7">
        <f t="shared" si="43"/>
        <v>-4.1867728550549585E-2</v>
      </c>
      <c r="AL31" s="7">
        <f t="shared" si="43"/>
        <v>-4.2914421764313322E-2</v>
      </c>
      <c r="AM31" s="7">
        <f t="shared" ref="AM31:AN31" si="44">+AM12-AM23</f>
        <v>-4.3987282308421152E-2</v>
      </c>
      <c r="AN31" s="7">
        <f t="shared" si="44"/>
        <v>-4.5086964366131674E-2</v>
      </c>
    </row>
    <row r="32" spans="3:40" x14ac:dyDescent="0.35">
      <c r="C32" t="s">
        <v>10</v>
      </c>
      <c r="D32" s="8">
        <f>+D13-D25</f>
        <v>5000</v>
      </c>
      <c r="E32" s="8">
        <f>+E13-E25</f>
        <v>5000</v>
      </c>
      <c r="F32" s="8">
        <f t="shared" ref="F32:AL32" si="45">+F13-F25</f>
        <v>5000</v>
      </c>
      <c r="G32" s="8">
        <f t="shared" si="45"/>
        <v>5000</v>
      </c>
      <c r="H32" s="8">
        <f t="shared" si="45"/>
        <v>5000</v>
      </c>
      <c r="I32" s="8">
        <f t="shared" si="45"/>
        <v>5000</v>
      </c>
      <c r="J32" s="8">
        <f t="shared" si="45"/>
        <v>5000</v>
      </c>
      <c r="K32" s="8">
        <f t="shared" si="45"/>
        <v>5000</v>
      </c>
      <c r="L32" s="8">
        <f t="shared" si="45"/>
        <v>0</v>
      </c>
      <c r="M32" s="8">
        <f t="shared" si="45"/>
        <v>0</v>
      </c>
      <c r="N32" s="8">
        <f t="shared" si="45"/>
        <v>0</v>
      </c>
      <c r="O32" s="8">
        <f t="shared" si="45"/>
        <v>0</v>
      </c>
      <c r="P32" s="8">
        <f t="shared" si="45"/>
        <v>0</v>
      </c>
      <c r="Q32" s="8">
        <f t="shared" si="45"/>
        <v>0</v>
      </c>
      <c r="R32" s="8">
        <f t="shared" si="45"/>
        <v>0</v>
      </c>
      <c r="S32" s="8">
        <f t="shared" si="45"/>
        <v>0</v>
      </c>
      <c r="T32" s="8">
        <f t="shared" si="45"/>
        <v>0</v>
      </c>
      <c r="U32" s="8">
        <f t="shared" si="45"/>
        <v>0</v>
      </c>
      <c r="V32" s="8">
        <f t="shared" si="45"/>
        <v>0</v>
      </c>
      <c r="W32" s="8">
        <f t="shared" si="45"/>
        <v>0</v>
      </c>
      <c r="X32" s="8">
        <f t="shared" si="45"/>
        <v>0</v>
      </c>
      <c r="Y32" s="8">
        <f t="shared" si="45"/>
        <v>0</v>
      </c>
      <c r="Z32" s="8">
        <f t="shared" si="45"/>
        <v>0</v>
      </c>
      <c r="AA32" s="8">
        <f t="shared" si="45"/>
        <v>0</v>
      </c>
      <c r="AB32" s="8">
        <f t="shared" si="45"/>
        <v>0</v>
      </c>
      <c r="AC32" s="8">
        <f t="shared" si="45"/>
        <v>0</v>
      </c>
      <c r="AD32" s="8">
        <f t="shared" si="45"/>
        <v>0</v>
      </c>
      <c r="AE32" s="8">
        <f t="shared" si="45"/>
        <v>0</v>
      </c>
      <c r="AF32" s="8">
        <f t="shared" si="45"/>
        <v>0</v>
      </c>
      <c r="AG32" s="8">
        <f t="shared" si="45"/>
        <v>0</v>
      </c>
      <c r="AH32" s="8">
        <f t="shared" si="45"/>
        <v>0</v>
      </c>
      <c r="AI32" s="8">
        <f t="shared" si="45"/>
        <v>0</v>
      </c>
      <c r="AJ32" s="8">
        <f t="shared" si="45"/>
        <v>0</v>
      </c>
      <c r="AK32" s="8">
        <f t="shared" si="45"/>
        <v>0</v>
      </c>
      <c r="AL32" s="8">
        <f t="shared" si="45"/>
        <v>0</v>
      </c>
      <c r="AM32" s="8">
        <f t="shared" ref="AM32:AN32" si="46">+AM13-AM25</f>
        <v>0</v>
      </c>
      <c r="AN32" s="8">
        <f t="shared" si="46"/>
        <v>0</v>
      </c>
    </row>
    <row r="33" spans="3:40" x14ac:dyDescent="0.35">
      <c r="C33" t="s">
        <v>3</v>
      </c>
      <c r="D33" s="8">
        <f>+D14-D21</f>
        <v>2400</v>
      </c>
      <c r="E33" s="8">
        <f>+E14-E21</f>
        <v>0</v>
      </c>
      <c r="F33" s="8">
        <f t="shared" ref="F33:AL33" si="47">+F14-F21</f>
        <v>0</v>
      </c>
      <c r="G33" s="8">
        <f t="shared" si="47"/>
        <v>0</v>
      </c>
      <c r="H33" s="8">
        <f t="shared" si="47"/>
        <v>0</v>
      </c>
      <c r="I33" s="8">
        <f t="shared" si="47"/>
        <v>0</v>
      </c>
      <c r="J33" s="8">
        <f t="shared" si="47"/>
        <v>0</v>
      </c>
      <c r="K33" s="8">
        <f t="shared" si="47"/>
        <v>0</v>
      </c>
      <c r="L33" s="8">
        <f t="shared" si="47"/>
        <v>0</v>
      </c>
      <c r="M33" s="8">
        <f t="shared" si="47"/>
        <v>0</v>
      </c>
      <c r="N33" s="8">
        <f t="shared" si="47"/>
        <v>0</v>
      </c>
      <c r="O33" s="8">
        <f t="shared" si="47"/>
        <v>0</v>
      </c>
      <c r="P33" s="8">
        <f t="shared" si="47"/>
        <v>0</v>
      </c>
      <c r="Q33" s="8">
        <f t="shared" si="47"/>
        <v>0</v>
      </c>
      <c r="R33" s="8">
        <f t="shared" si="47"/>
        <v>0</v>
      </c>
      <c r="S33" s="8">
        <f t="shared" si="47"/>
        <v>0</v>
      </c>
      <c r="T33" s="8">
        <f t="shared" si="47"/>
        <v>0</v>
      </c>
      <c r="U33" s="8">
        <f t="shared" si="47"/>
        <v>0</v>
      </c>
      <c r="V33" s="8">
        <f t="shared" si="47"/>
        <v>0</v>
      </c>
      <c r="W33" s="8">
        <f t="shared" si="47"/>
        <v>0</v>
      </c>
      <c r="X33" s="8">
        <f t="shared" si="47"/>
        <v>0</v>
      </c>
      <c r="Y33" s="8">
        <f t="shared" si="47"/>
        <v>0</v>
      </c>
      <c r="Z33" s="8">
        <f t="shared" si="47"/>
        <v>0</v>
      </c>
      <c r="AA33" s="8">
        <f t="shared" si="47"/>
        <v>0</v>
      </c>
      <c r="AB33" s="8">
        <f t="shared" si="47"/>
        <v>0</v>
      </c>
      <c r="AC33" s="8">
        <f t="shared" si="47"/>
        <v>0</v>
      </c>
      <c r="AD33" s="8">
        <f>+AD14-AD21</f>
        <v>0</v>
      </c>
      <c r="AE33" s="8">
        <f t="shared" si="47"/>
        <v>0</v>
      </c>
      <c r="AF33" s="8">
        <f t="shared" si="47"/>
        <v>0</v>
      </c>
      <c r="AG33" s="8">
        <f t="shared" si="47"/>
        <v>0</v>
      </c>
      <c r="AH33" s="8">
        <f t="shared" si="47"/>
        <v>0</v>
      </c>
      <c r="AI33" s="8">
        <f t="shared" si="47"/>
        <v>0</v>
      </c>
      <c r="AJ33" s="8">
        <f t="shared" si="47"/>
        <v>0</v>
      </c>
      <c r="AK33" s="8">
        <f t="shared" si="47"/>
        <v>0</v>
      </c>
      <c r="AL33" s="8">
        <f t="shared" si="47"/>
        <v>0</v>
      </c>
      <c r="AM33" s="8">
        <f t="shared" ref="AM33:AN33" si="48">+AM14-AM21</f>
        <v>0</v>
      </c>
      <c r="AN33" s="8">
        <f t="shared" si="48"/>
        <v>0</v>
      </c>
    </row>
    <row r="35" spans="3:40" x14ac:dyDescent="0.35">
      <c r="D35" s="1"/>
      <c r="E35" s="1"/>
      <c r="F35" s="1"/>
      <c r="G35" s="1"/>
      <c r="H35" s="1"/>
      <c r="I35" s="1"/>
      <c r="J35" s="1"/>
      <c r="K35" s="1"/>
    </row>
    <row r="36" spans="3:40" x14ac:dyDescent="0.35">
      <c r="C36" t="s">
        <v>4</v>
      </c>
      <c r="D36" s="1">
        <v>1600</v>
      </c>
      <c r="E36" s="1">
        <f>+E42-E40-E39-E38-E37</f>
        <v>1008.537</v>
      </c>
      <c r="F36" s="1">
        <f>+F42-F40-F39-F38-F37</f>
        <v>1220.7394299999987</v>
      </c>
      <c r="G36" s="1">
        <f>+G42-G40-G39-G38-G37</f>
        <v>1224.6147018999995</v>
      </c>
      <c r="H36" s="1">
        <f t="shared" ref="H36:K36" si="49">+H42-H40-H39-H38-H37</f>
        <v>1136.5422991039991</v>
      </c>
      <c r="I36" s="1">
        <f t="shared" si="49"/>
        <v>1057.7160456263987</v>
      </c>
      <c r="J36" s="1">
        <f t="shared" si="49"/>
        <v>946.42762044637129</v>
      </c>
      <c r="K36" s="1">
        <f t="shared" si="49"/>
        <v>808.88618470379015</v>
      </c>
    </row>
    <row r="37" spans="3:40" x14ac:dyDescent="0.35">
      <c r="C37" t="s">
        <v>5</v>
      </c>
      <c r="D37" s="1">
        <v>99</v>
      </c>
      <c r="E37" s="1">
        <f>+D37-60</f>
        <v>39</v>
      </c>
      <c r="F37" s="1">
        <v>2652</v>
      </c>
      <c r="G37" s="1">
        <f>+F37+F26</f>
        <v>1992.8349096000002</v>
      </c>
      <c r="H37" s="1">
        <f t="shared" ref="H37:K37" si="50">+G37</f>
        <v>1992.8349096000002</v>
      </c>
      <c r="I37" s="1">
        <f t="shared" si="50"/>
        <v>1992.8349096000002</v>
      </c>
      <c r="J37" s="1">
        <f t="shared" si="50"/>
        <v>1992.8349096000002</v>
      </c>
      <c r="K37" s="1">
        <f t="shared" si="50"/>
        <v>1992.8349096000002</v>
      </c>
    </row>
    <row r="38" spans="3:40" x14ac:dyDescent="0.35">
      <c r="C38" t="s">
        <v>6</v>
      </c>
      <c r="D38" s="1">
        <v>159.19999999999999</v>
      </c>
      <c r="E38" s="1">
        <f t="shared" ref="E38:G38" si="51">+D38</f>
        <v>159.19999999999999</v>
      </c>
      <c r="F38" s="1">
        <v>161</v>
      </c>
      <c r="G38" s="1">
        <f t="shared" si="51"/>
        <v>161</v>
      </c>
      <c r="H38" s="1">
        <f t="shared" ref="H38:K38" si="52">+G38</f>
        <v>161</v>
      </c>
      <c r="I38" s="1">
        <f t="shared" si="52"/>
        <v>161</v>
      </c>
      <c r="J38" s="1">
        <f t="shared" si="52"/>
        <v>161</v>
      </c>
      <c r="K38" s="1">
        <f t="shared" si="52"/>
        <v>161</v>
      </c>
    </row>
    <row r="39" spans="3:40" x14ac:dyDescent="0.35">
      <c r="C39" t="s">
        <v>7</v>
      </c>
      <c r="D39" s="1">
        <v>279</v>
      </c>
      <c r="E39" s="1">
        <f t="shared" ref="E39:K39" si="53">+D39*(1+E10)</f>
        <v>287.37</v>
      </c>
      <c r="F39" s="1">
        <f t="shared" si="53"/>
        <v>295.99110000000002</v>
      </c>
      <c r="G39" s="1">
        <f t="shared" si="53"/>
        <v>307.83074400000004</v>
      </c>
      <c r="H39" s="1">
        <f t="shared" si="53"/>
        <v>323.22228120000005</v>
      </c>
      <c r="I39" s="1">
        <f t="shared" si="53"/>
        <v>339.3833952600001</v>
      </c>
      <c r="J39" s="1">
        <f t="shared" si="53"/>
        <v>356.35256502300012</v>
      </c>
      <c r="K39" s="1">
        <f t="shared" si="53"/>
        <v>374.17019327415017</v>
      </c>
    </row>
    <row r="40" spans="3:40" x14ac:dyDescent="0.35">
      <c r="C40" t="s">
        <v>8</v>
      </c>
      <c r="D40" s="1">
        <v>56.6</v>
      </c>
      <c r="E40" s="1">
        <f>+D40</f>
        <v>56.6</v>
      </c>
      <c r="F40" s="1">
        <f>+E40</f>
        <v>56.6</v>
      </c>
      <c r="G40" s="1">
        <f>+F40</f>
        <v>56.6</v>
      </c>
      <c r="H40" s="1">
        <f t="shared" ref="H40:K40" si="54">+G40</f>
        <v>56.6</v>
      </c>
      <c r="I40" s="1">
        <f t="shared" si="54"/>
        <v>56.6</v>
      </c>
      <c r="J40" s="1">
        <f t="shared" si="54"/>
        <v>56.6</v>
      </c>
      <c r="K40" s="1">
        <f t="shared" si="54"/>
        <v>56.6</v>
      </c>
    </row>
    <row r="41" spans="3:40" x14ac:dyDescent="0.35">
      <c r="D41" s="1"/>
    </row>
    <row r="42" spans="3:40" x14ac:dyDescent="0.35">
      <c r="D42" s="1">
        <f>+SUM(D36:D40)</f>
        <v>2193.7999999999997</v>
      </c>
      <c r="E42" s="6">
        <f>+E15</f>
        <v>1550.7069999999999</v>
      </c>
      <c r="F42" s="6">
        <f>+F15</f>
        <v>4386.3305299999993</v>
      </c>
      <c r="G42" s="6">
        <f>+G15</f>
        <v>3742.8803554999995</v>
      </c>
      <c r="H42" s="6">
        <f t="shared" ref="H42:K42" si="55">+H15</f>
        <v>3670.1994899039992</v>
      </c>
      <c r="I42" s="6">
        <f t="shared" si="55"/>
        <v>3607.534350486399</v>
      </c>
      <c r="J42" s="6">
        <f t="shared" si="55"/>
        <v>3513.2150950693713</v>
      </c>
      <c r="K42" s="6">
        <f t="shared" si="55"/>
        <v>3393.4912875779405</v>
      </c>
    </row>
    <row r="46" spans="3:40" x14ac:dyDescent="0.35">
      <c r="F46" s="6">
        <f>+F36-1220</f>
        <v>0.73942999999871972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64A7-C019-4BCD-96E3-BB9B6848FD95}">
  <sheetPr codeName="Sheet2"/>
  <dimension ref="A1:AR201"/>
  <sheetViews>
    <sheetView zoomScale="110" zoomScaleNormal="110" workbookViewId="0">
      <pane xSplit="4" ySplit="12" topLeftCell="E81" activePane="bottomRight" state="frozen"/>
      <selection pane="topRight" activeCell="E1" sqref="E1"/>
      <selection pane="bottomLeft" activeCell="A12" sqref="A12"/>
      <selection pane="bottomRight" activeCell="E88" sqref="E88"/>
    </sheetView>
  </sheetViews>
  <sheetFormatPr defaultRowHeight="14.5" x14ac:dyDescent="0.35"/>
  <cols>
    <col min="2" max="2" width="3.6328125" customWidth="1"/>
    <col min="3" max="3" width="8.7265625" customWidth="1"/>
    <col min="4" max="4" width="19.08984375" customWidth="1"/>
    <col min="5" max="5" width="9.26953125" style="2" bestFit="1" customWidth="1"/>
    <col min="6" max="6" width="9.81640625" bestFit="1" customWidth="1"/>
    <col min="7" max="12" width="9.26953125" bestFit="1" customWidth="1"/>
    <col min="13" max="13" width="9.6328125" bestFit="1" customWidth="1"/>
    <col min="14" max="17" width="9.26953125" bestFit="1" customWidth="1"/>
    <col min="18" max="18" width="9.6328125" bestFit="1" customWidth="1"/>
    <col min="19" max="20" width="9.36328125" bestFit="1" customWidth="1"/>
    <col min="21" max="26" width="9.26953125" bestFit="1" customWidth="1"/>
    <col min="27" max="32" width="9.1796875" bestFit="1" customWidth="1"/>
    <col min="33" max="33" width="10.1796875" bestFit="1" customWidth="1"/>
    <col min="34" max="44" width="9.81640625" bestFit="1" customWidth="1"/>
  </cols>
  <sheetData>
    <row r="1" spans="1:44" x14ac:dyDescent="0.35">
      <c r="E1" s="128">
        <v>2023</v>
      </c>
      <c r="F1" s="129">
        <v>2024</v>
      </c>
      <c r="G1" s="20">
        <f>+F1+1</f>
        <v>2025</v>
      </c>
      <c r="H1" s="20">
        <f t="shared" ref="H1:M1" si="0">+G1+1</f>
        <v>2026</v>
      </c>
      <c r="I1" s="20">
        <f t="shared" si="0"/>
        <v>2027</v>
      </c>
      <c r="J1" s="20">
        <f t="shared" si="0"/>
        <v>2028</v>
      </c>
      <c r="K1" s="20">
        <f t="shared" si="0"/>
        <v>2029</v>
      </c>
      <c r="L1" s="20">
        <f t="shared" si="0"/>
        <v>2030</v>
      </c>
      <c r="M1" s="20">
        <f t="shared" si="0"/>
        <v>2031</v>
      </c>
      <c r="N1" s="20">
        <f t="shared" ref="N1:V1" si="1">+M1+1</f>
        <v>2032</v>
      </c>
      <c r="O1" s="20">
        <f t="shared" si="1"/>
        <v>2033</v>
      </c>
      <c r="P1" s="20">
        <f t="shared" si="1"/>
        <v>2034</v>
      </c>
      <c r="Q1" s="20">
        <f t="shared" si="1"/>
        <v>2035</v>
      </c>
      <c r="R1" s="20">
        <f t="shared" si="1"/>
        <v>2036</v>
      </c>
      <c r="S1" s="20">
        <f t="shared" si="1"/>
        <v>2037</v>
      </c>
      <c r="T1" s="20">
        <f t="shared" si="1"/>
        <v>2038</v>
      </c>
      <c r="U1" s="20">
        <f t="shared" si="1"/>
        <v>2039</v>
      </c>
      <c r="V1" s="20">
        <f t="shared" si="1"/>
        <v>2040</v>
      </c>
      <c r="W1" s="20">
        <f t="shared" ref="W1:AR1" si="2">+V1+1</f>
        <v>2041</v>
      </c>
      <c r="X1" s="20">
        <f t="shared" si="2"/>
        <v>2042</v>
      </c>
      <c r="Y1" s="20">
        <f t="shared" si="2"/>
        <v>2043</v>
      </c>
      <c r="Z1" s="20">
        <f t="shared" si="2"/>
        <v>2044</v>
      </c>
      <c r="AA1" s="20">
        <f t="shared" si="2"/>
        <v>2045</v>
      </c>
      <c r="AB1" s="20">
        <f t="shared" si="2"/>
        <v>2046</v>
      </c>
      <c r="AC1" s="20">
        <f t="shared" si="2"/>
        <v>2047</v>
      </c>
      <c r="AD1" s="20">
        <f t="shared" si="2"/>
        <v>2048</v>
      </c>
      <c r="AE1" s="20">
        <f t="shared" si="2"/>
        <v>2049</v>
      </c>
      <c r="AF1" s="20">
        <f t="shared" si="2"/>
        <v>2050</v>
      </c>
      <c r="AG1" s="20">
        <f t="shared" si="2"/>
        <v>2051</v>
      </c>
      <c r="AH1" s="20">
        <f t="shared" si="2"/>
        <v>2052</v>
      </c>
      <c r="AI1" s="20">
        <f t="shared" si="2"/>
        <v>2053</v>
      </c>
      <c r="AJ1" s="20">
        <f t="shared" si="2"/>
        <v>2054</v>
      </c>
      <c r="AK1" s="20">
        <f t="shared" si="2"/>
        <v>2055</v>
      </c>
      <c r="AL1" s="20">
        <f t="shared" si="2"/>
        <v>2056</v>
      </c>
      <c r="AM1" s="20">
        <f t="shared" si="2"/>
        <v>2057</v>
      </c>
      <c r="AN1" s="20">
        <f t="shared" si="2"/>
        <v>2058</v>
      </c>
      <c r="AO1" s="20">
        <f t="shared" si="2"/>
        <v>2059</v>
      </c>
      <c r="AP1" s="20">
        <f t="shared" si="2"/>
        <v>2060</v>
      </c>
      <c r="AQ1" s="20">
        <f t="shared" si="2"/>
        <v>2061</v>
      </c>
      <c r="AR1" s="21">
        <f t="shared" si="2"/>
        <v>2062</v>
      </c>
    </row>
    <row r="2" spans="1:44" x14ac:dyDescent="0.35">
      <c r="E2" s="130"/>
      <c r="F2" s="131">
        <v>57</v>
      </c>
      <c r="G2" s="81">
        <f>+F2+1</f>
        <v>58</v>
      </c>
      <c r="H2" s="81">
        <f t="shared" ref="H2:AJ2" si="3">+G2+1</f>
        <v>59</v>
      </c>
      <c r="I2" s="81">
        <f t="shared" si="3"/>
        <v>60</v>
      </c>
      <c r="J2" s="81">
        <f t="shared" si="3"/>
        <v>61</v>
      </c>
      <c r="K2" s="81">
        <f t="shared" si="3"/>
        <v>62</v>
      </c>
      <c r="L2" s="81">
        <f t="shared" si="3"/>
        <v>63</v>
      </c>
      <c r="M2" s="81">
        <f t="shared" si="3"/>
        <v>64</v>
      </c>
      <c r="N2" s="81">
        <f t="shared" si="3"/>
        <v>65</v>
      </c>
      <c r="O2" s="81">
        <f t="shared" si="3"/>
        <v>66</v>
      </c>
      <c r="P2" s="81">
        <f t="shared" si="3"/>
        <v>67</v>
      </c>
      <c r="Q2" s="81">
        <f t="shared" si="3"/>
        <v>68</v>
      </c>
      <c r="R2" s="81">
        <f t="shared" si="3"/>
        <v>69</v>
      </c>
      <c r="S2" s="81">
        <f t="shared" si="3"/>
        <v>70</v>
      </c>
      <c r="T2" s="81">
        <f t="shared" si="3"/>
        <v>71</v>
      </c>
      <c r="U2" s="81">
        <f t="shared" si="3"/>
        <v>72</v>
      </c>
      <c r="V2" s="81">
        <f t="shared" si="3"/>
        <v>73</v>
      </c>
      <c r="W2" s="81">
        <f t="shared" si="3"/>
        <v>74</v>
      </c>
      <c r="X2" s="81">
        <f t="shared" si="3"/>
        <v>75</v>
      </c>
      <c r="Y2" s="81">
        <f t="shared" si="3"/>
        <v>76</v>
      </c>
      <c r="Z2" s="81">
        <f t="shared" si="3"/>
        <v>77</v>
      </c>
      <c r="AA2" s="81">
        <f t="shared" si="3"/>
        <v>78</v>
      </c>
      <c r="AB2" s="81">
        <f t="shared" si="3"/>
        <v>79</v>
      </c>
      <c r="AC2" s="81">
        <f t="shared" si="3"/>
        <v>80</v>
      </c>
      <c r="AD2" s="81">
        <f t="shared" si="3"/>
        <v>81</v>
      </c>
      <c r="AE2" s="81">
        <f t="shared" si="3"/>
        <v>82</v>
      </c>
      <c r="AF2" s="81">
        <f t="shared" si="3"/>
        <v>83</v>
      </c>
      <c r="AG2" s="81">
        <f t="shared" si="3"/>
        <v>84</v>
      </c>
      <c r="AH2" s="81">
        <f t="shared" si="3"/>
        <v>85</v>
      </c>
      <c r="AI2" s="81">
        <f t="shared" si="3"/>
        <v>86</v>
      </c>
      <c r="AJ2" s="81">
        <f t="shared" si="3"/>
        <v>87</v>
      </c>
      <c r="AK2" s="81">
        <f t="shared" ref="AK2:AR2" si="4">+AJ2+1</f>
        <v>88</v>
      </c>
      <c r="AL2" s="81">
        <f t="shared" si="4"/>
        <v>89</v>
      </c>
      <c r="AM2" s="81">
        <f t="shared" si="4"/>
        <v>90</v>
      </c>
      <c r="AN2" s="81">
        <f t="shared" si="4"/>
        <v>91</v>
      </c>
      <c r="AO2" s="81">
        <f t="shared" si="4"/>
        <v>92</v>
      </c>
      <c r="AP2" s="81">
        <f t="shared" si="4"/>
        <v>93</v>
      </c>
      <c r="AQ2" s="81">
        <f t="shared" si="4"/>
        <v>94</v>
      </c>
      <c r="AR2" s="82">
        <f t="shared" si="4"/>
        <v>95</v>
      </c>
    </row>
    <row r="3" spans="1:44" x14ac:dyDescent="0.35">
      <c r="B3" t="s">
        <v>31</v>
      </c>
      <c r="C3" t="s">
        <v>33</v>
      </c>
      <c r="E3" s="83">
        <v>4.5</v>
      </c>
      <c r="F3" s="83">
        <v>4.08</v>
      </c>
      <c r="G3" s="83">
        <v>3.8</v>
      </c>
      <c r="H3" s="83">
        <v>4</v>
      </c>
      <c r="I3" s="83">
        <f t="shared" ref="I3:AR4" si="5">+H3</f>
        <v>4</v>
      </c>
      <c r="J3" s="83">
        <f t="shared" si="5"/>
        <v>4</v>
      </c>
      <c r="K3" s="83">
        <f t="shared" si="5"/>
        <v>4</v>
      </c>
      <c r="L3" s="83">
        <f t="shared" si="5"/>
        <v>4</v>
      </c>
      <c r="M3" s="83">
        <f t="shared" si="5"/>
        <v>4</v>
      </c>
      <c r="N3" s="83">
        <f t="shared" si="5"/>
        <v>4</v>
      </c>
      <c r="O3" s="83">
        <f t="shared" si="5"/>
        <v>4</v>
      </c>
      <c r="P3" s="83">
        <f t="shared" si="5"/>
        <v>4</v>
      </c>
      <c r="Q3" s="83">
        <f t="shared" si="5"/>
        <v>4</v>
      </c>
      <c r="R3" s="83">
        <f t="shared" si="5"/>
        <v>4</v>
      </c>
      <c r="S3" s="83">
        <f t="shared" si="5"/>
        <v>4</v>
      </c>
      <c r="T3" s="83">
        <f t="shared" si="5"/>
        <v>4</v>
      </c>
      <c r="U3" s="83">
        <f t="shared" si="5"/>
        <v>4</v>
      </c>
      <c r="V3" s="83">
        <f t="shared" si="5"/>
        <v>4</v>
      </c>
      <c r="W3" s="83">
        <f t="shared" si="5"/>
        <v>4</v>
      </c>
      <c r="X3" s="83">
        <f t="shared" si="5"/>
        <v>4</v>
      </c>
      <c r="Y3" s="83">
        <f t="shared" si="5"/>
        <v>4</v>
      </c>
      <c r="Z3" s="83">
        <f t="shared" si="5"/>
        <v>4</v>
      </c>
      <c r="AA3" s="83">
        <f t="shared" si="5"/>
        <v>4</v>
      </c>
      <c r="AB3" s="83">
        <f t="shared" si="5"/>
        <v>4</v>
      </c>
      <c r="AC3" s="83">
        <f t="shared" si="5"/>
        <v>4</v>
      </c>
      <c r="AD3" s="83">
        <f t="shared" si="5"/>
        <v>4</v>
      </c>
      <c r="AE3" s="83">
        <f t="shared" si="5"/>
        <v>4</v>
      </c>
      <c r="AF3" s="83">
        <f t="shared" si="5"/>
        <v>4</v>
      </c>
      <c r="AG3" s="83">
        <f t="shared" si="5"/>
        <v>4</v>
      </c>
      <c r="AH3" s="83">
        <f t="shared" si="5"/>
        <v>4</v>
      </c>
      <c r="AI3" s="83">
        <f t="shared" si="5"/>
        <v>4</v>
      </c>
      <c r="AJ3" s="83">
        <f t="shared" si="5"/>
        <v>4</v>
      </c>
      <c r="AK3" s="83">
        <f t="shared" si="5"/>
        <v>4</v>
      </c>
      <c r="AL3" s="83">
        <f t="shared" si="5"/>
        <v>4</v>
      </c>
      <c r="AM3" s="83">
        <f t="shared" si="5"/>
        <v>4</v>
      </c>
      <c r="AN3" s="83">
        <f t="shared" si="5"/>
        <v>4</v>
      </c>
      <c r="AO3" s="83">
        <f t="shared" si="5"/>
        <v>4</v>
      </c>
      <c r="AP3" s="83">
        <f t="shared" si="5"/>
        <v>4</v>
      </c>
      <c r="AQ3" s="83">
        <f t="shared" si="5"/>
        <v>4</v>
      </c>
      <c r="AR3" s="83">
        <f t="shared" si="5"/>
        <v>4</v>
      </c>
    </row>
    <row r="4" spans="1:44" x14ac:dyDescent="0.35">
      <c r="C4" t="s">
        <v>32</v>
      </c>
      <c r="E4" s="83">
        <v>1.1000000000000001</v>
      </c>
      <c r="F4" s="83">
        <v>1.05</v>
      </c>
      <c r="G4" s="83">
        <v>1.1499999999999999</v>
      </c>
      <c r="H4" s="83">
        <v>1.1000000000000001</v>
      </c>
      <c r="I4" s="83">
        <f t="shared" si="5"/>
        <v>1.1000000000000001</v>
      </c>
      <c r="J4" s="83">
        <f t="shared" si="5"/>
        <v>1.1000000000000001</v>
      </c>
      <c r="K4" s="83">
        <f t="shared" si="5"/>
        <v>1.1000000000000001</v>
      </c>
      <c r="L4" s="83">
        <f t="shared" si="5"/>
        <v>1.1000000000000001</v>
      </c>
      <c r="M4" s="83">
        <f t="shared" si="5"/>
        <v>1.1000000000000001</v>
      </c>
      <c r="N4" s="83">
        <f t="shared" si="5"/>
        <v>1.1000000000000001</v>
      </c>
      <c r="O4" s="83">
        <f t="shared" si="5"/>
        <v>1.1000000000000001</v>
      </c>
      <c r="P4" s="83">
        <f t="shared" si="5"/>
        <v>1.1000000000000001</v>
      </c>
      <c r="Q4" s="83">
        <f t="shared" si="5"/>
        <v>1.1000000000000001</v>
      </c>
      <c r="R4" s="83">
        <f t="shared" si="5"/>
        <v>1.1000000000000001</v>
      </c>
      <c r="S4" s="83">
        <f t="shared" si="5"/>
        <v>1.1000000000000001</v>
      </c>
      <c r="T4" s="83">
        <f t="shared" si="5"/>
        <v>1.1000000000000001</v>
      </c>
      <c r="U4" s="83">
        <f t="shared" si="5"/>
        <v>1.1000000000000001</v>
      </c>
      <c r="V4" s="83">
        <f t="shared" si="5"/>
        <v>1.1000000000000001</v>
      </c>
      <c r="W4" s="83">
        <f t="shared" si="5"/>
        <v>1.1000000000000001</v>
      </c>
      <c r="X4" s="83">
        <f t="shared" si="5"/>
        <v>1.1000000000000001</v>
      </c>
      <c r="Y4" s="83">
        <f t="shared" si="5"/>
        <v>1.1000000000000001</v>
      </c>
      <c r="Z4" s="83">
        <f t="shared" si="5"/>
        <v>1.1000000000000001</v>
      </c>
      <c r="AA4" s="83">
        <f t="shared" si="5"/>
        <v>1.1000000000000001</v>
      </c>
      <c r="AB4" s="83">
        <f t="shared" si="5"/>
        <v>1.1000000000000001</v>
      </c>
      <c r="AC4" s="83">
        <f t="shared" si="5"/>
        <v>1.1000000000000001</v>
      </c>
      <c r="AD4" s="83">
        <f t="shared" si="5"/>
        <v>1.1000000000000001</v>
      </c>
      <c r="AE4" s="83">
        <f t="shared" si="5"/>
        <v>1.1000000000000001</v>
      </c>
      <c r="AF4" s="83">
        <f t="shared" si="5"/>
        <v>1.1000000000000001</v>
      </c>
      <c r="AG4" s="83">
        <f t="shared" si="5"/>
        <v>1.1000000000000001</v>
      </c>
      <c r="AH4" s="83">
        <f t="shared" si="5"/>
        <v>1.1000000000000001</v>
      </c>
      <c r="AI4" s="83">
        <f t="shared" si="5"/>
        <v>1.1000000000000001</v>
      </c>
      <c r="AJ4" s="83">
        <f t="shared" si="5"/>
        <v>1.1000000000000001</v>
      </c>
      <c r="AK4" s="83">
        <f t="shared" si="5"/>
        <v>1.1000000000000001</v>
      </c>
      <c r="AL4" s="83">
        <f t="shared" si="5"/>
        <v>1.1000000000000001</v>
      </c>
      <c r="AM4" s="83">
        <f t="shared" si="5"/>
        <v>1.1000000000000001</v>
      </c>
      <c r="AN4" s="83">
        <f t="shared" si="5"/>
        <v>1.1000000000000001</v>
      </c>
      <c r="AO4" s="83">
        <f t="shared" si="5"/>
        <v>1.1000000000000001</v>
      </c>
      <c r="AP4" s="83">
        <f t="shared" si="5"/>
        <v>1.1000000000000001</v>
      </c>
      <c r="AQ4" s="83">
        <f t="shared" si="5"/>
        <v>1.1000000000000001</v>
      </c>
      <c r="AR4" s="83">
        <f t="shared" si="5"/>
        <v>1.1000000000000001</v>
      </c>
    </row>
    <row r="6" spans="1:44" x14ac:dyDescent="0.35">
      <c r="B6" t="s">
        <v>80</v>
      </c>
      <c r="E6" s="17">
        <v>0.05</v>
      </c>
      <c r="F6" s="17">
        <v>0.04</v>
      </c>
      <c r="G6" s="17">
        <v>3.5000000000000003E-2</v>
      </c>
      <c r="H6" s="17">
        <v>2.5000000000000001E-2</v>
      </c>
      <c r="I6" s="17">
        <v>2.2499999999999999E-2</v>
      </c>
      <c r="J6" s="17">
        <v>0.02</v>
      </c>
      <c r="K6" s="17">
        <f t="shared" ref="K6:AR6" si="6">+J6</f>
        <v>0.02</v>
      </c>
      <c r="L6" s="17">
        <f t="shared" si="6"/>
        <v>0.02</v>
      </c>
      <c r="M6" s="17">
        <f t="shared" si="6"/>
        <v>0.02</v>
      </c>
      <c r="N6" s="17">
        <f t="shared" si="6"/>
        <v>0.02</v>
      </c>
      <c r="O6" s="17">
        <f t="shared" si="6"/>
        <v>0.02</v>
      </c>
      <c r="P6" s="17">
        <f t="shared" si="6"/>
        <v>0.02</v>
      </c>
      <c r="Q6" s="17">
        <f t="shared" si="6"/>
        <v>0.02</v>
      </c>
      <c r="R6" s="17">
        <f t="shared" si="6"/>
        <v>0.02</v>
      </c>
      <c r="S6" s="17">
        <f t="shared" si="6"/>
        <v>0.02</v>
      </c>
      <c r="T6" s="17">
        <f t="shared" si="6"/>
        <v>0.02</v>
      </c>
      <c r="U6" s="17">
        <f t="shared" si="6"/>
        <v>0.02</v>
      </c>
      <c r="V6" s="17">
        <f t="shared" si="6"/>
        <v>0.02</v>
      </c>
      <c r="W6" s="17">
        <f t="shared" si="6"/>
        <v>0.02</v>
      </c>
      <c r="X6" s="17">
        <f t="shared" si="6"/>
        <v>0.02</v>
      </c>
      <c r="Y6" s="17">
        <f t="shared" si="6"/>
        <v>0.02</v>
      </c>
      <c r="Z6" s="17">
        <f t="shared" si="6"/>
        <v>0.02</v>
      </c>
      <c r="AA6" s="17">
        <f t="shared" si="6"/>
        <v>0.02</v>
      </c>
      <c r="AB6" s="17">
        <f t="shared" si="6"/>
        <v>0.02</v>
      </c>
      <c r="AC6" s="17">
        <f t="shared" si="6"/>
        <v>0.02</v>
      </c>
      <c r="AD6" s="17">
        <f t="shared" si="6"/>
        <v>0.02</v>
      </c>
      <c r="AE6" s="17">
        <f t="shared" si="6"/>
        <v>0.02</v>
      </c>
      <c r="AF6" s="17">
        <f t="shared" si="6"/>
        <v>0.02</v>
      </c>
      <c r="AG6" s="17">
        <f t="shared" si="6"/>
        <v>0.02</v>
      </c>
      <c r="AH6" s="17">
        <f t="shared" si="6"/>
        <v>0.02</v>
      </c>
      <c r="AI6" s="17">
        <f t="shared" si="6"/>
        <v>0.02</v>
      </c>
      <c r="AJ6" s="17">
        <f t="shared" si="6"/>
        <v>0.02</v>
      </c>
      <c r="AK6" s="17">
        <f t="shared" si="6"/>
        <v>0.02</v>
      </c>
      <c r="AL6" s="17">
        <f t="shared" si="6"/>
        <v>0.02</v>
      </c>
      <c r="AM6" s="17">
        <f t="shared" si="6"/>
        <v>0.02</v>
      </c>
      <c r="AN6" s="17">
        <f t="shared" si="6"/>
        <v>0.02</v>
      </c>
      <c r="AO6" s="17">
        <f t="shared" si="6"/>
        <v>0.02</v>
      </c>
      <c r="AP6" s="17">
        <f t="shared" si="6"/>
        <v>0.02</v>
      </c>
      <c r="AQ6" s="17">
        <f t="shared" si="6"/>
        <v>0.02</v>
      </c>
      <c r="AR6" s="17">
        <f t="shared" si="6"/>
        <v>0.02</v>
      </c>
    </row>
    <row r="7" spans="1:44" x14ac:dyDescent="0.35">
      <c r="E7" s="10"/>
    </row>
    <row r="8" spans="1:44" s="1" customFormat="1" ht="15" thickBot="1" x14ac:dyDescent="0.4">
      <c r="B8" s="24" t="s">
        <v>20</v>
      </c>
      <c r="D8" s="23">
        <v>250</v>
      </c>
      <c r="E8" s="9">
        <v>275</v>
      </c>
      <c r="F8" s="9">
        <f>275+37+21-25</f>
        <v>308</v>
      </c>
      <c r="G8" s="9">
        <f>+F8+Outputs!F25+G10</f>
        <v>250.00000000000023</v>
      </c>
      <c r="H8" s="9">
        <f>+G8+Outputs!G25+H10</f>
        <v>250</v>
      </c>
      <c r="I8" s="9">
        <f>+H8+Outputs!H25+I10</f>
        <v>250</v>
      </c>
      <c r="J8" s="9">
        <f>+I8+Outputs!I25+J10</f>
        <v>250</v>
      </c>
      <c r="K8" s="9">
        <f>+J8+Outputs!J25+K10</f>
        <v>250.00000000000006</v>
      </c>
      <c r="L8" s="9">
        <f>+K8+Outputs!K25+L10</f>
        <v>249.99999999999989</v>
      </c>
      <c r="M8" s="9">
        <f>+L8+Outputs!L25+M10</f>
        <v>249.99999999999997</v>
      </c>
      <c r="N8" s="9">
        <f>+M8+Outputs!M25+N10</f>
        <v>250.00000000000009</v>
      </c>
      <c r="O8" s="9">
        <f>+N8+Outputs!N25+O10</f>
        <v>250.00000000000009</v>
      </c>
      <c r="P8" s="9">
        <f>+O8+Outputs!O25+P10</f>
        <v>249.99999999999997</v>
      </c>
      <c r="Q8" s="9">
        <f>+P8+Outputs!P25+Q10</f>
        <v>250.00000000000045</v>
      </c>
      <c r="R8" s="9">
        <f>+Q8+Outputs!Q25+R10</f>
        <v>250.00000000000091</v>
      </c>
      <c r="S8" s="9">
        <f>+R8+Outputs!R25+S10</f>
        <v>249.99999999999955</v>
      </c>
      <c r="T8" s="9">
        <f>+S8+Outputs!S25+T10</f>
        <v>250</v>
      </c>
      <c r="U8" s="9">
        <f>+T8+Outputs!T25+U10</f>
        <v>250.00000000000006</v>
      </c>
      <c r="V8" s="9">
        <f>+U8+Outputs!U25+V10</f>
        <v>249.99999999999994</v>
      </c>
      <c r="W8" s="9">
        <f>+V8+Outputs!V25+W10</f>
        <v>249.99999999999994</v>
      </c>
      <c r="X8" s="9">
        <f>+W8+Outputs!W25+X10</f>
        <v>250</v>
      </c>
      <c r="Y8" s="9">
        <f>+X8+Outputs!X25+Y10</f>
        <v>250</v>
      </c>
      <c r="Z8" s="9">
        <f>+Y8+Outputs!Y25+Z10</f>
        <v>249.99999999999977</v>
      </c>
      <c r="AA8" s="9">
        <f>+Z8+Outputs!Z25+AA10</f>
        <v>250</v>
      </c>
      <c r="AB8" s="9">
        <f>+AA8+Outputs!AA25+AB10</f>
        <v>250</v>
      </c>
      <c r="AC8" s="9">
        <f>+AB8+Outputs!AB25+AC10</f>
        <v>250</v>
      </c>
      <c r="AD8" s="9">
        <f>+AC8+Outputs!AC25+AD10</f>
        <v>249.99999999999994</v>
      </c>
      <c r="AE8" s="9">
        <f>+AD8+Outputs!AD25+AE10</f>
        <v>249.99999999999994</v>
      </c>
      <c r="AF8" s="9">
        <f>+AE8+Outputs!AE25+AF10</f>
        <v>249.99999999999994</v>
      </c>
      <c r="AG8" s="9">
        <f>+AF8+Outputs!AF25+AG10</f>
        <v>249.99999999999994</v>
      </c>
      <c r="AH8" s="9">
        <f>+AG8+Outputs!AG25+AH10</f>
        <v>249.99999999999989</v>
      </c>
      <c r="AI8" s="9">
        <f>+AH8+Outputs!AH25+AI10</f>
        <v>250</v>
      </c>
      <c r="AJ8" s="9">
        <f>+AI8+Outputs!AI25+AJ10</f>
        <v>250</v>
      </c>
      <c r="AK8" s="9">
        <f>+AJ8+Outputs!AJ25+AK10</f>
        <v>250.00000000000009</v>
      </c>
      <c r="AL8" s="9">
        <f>+AK8+Outputs!AK25+AL10</f>
        <v>249.99999999999997</v>
      </c>
      <c r="AM8" s="9">
        <f>+AL8+Outputs!AL25+AM10</f>
        <v>250</v>
      </c>
      <c r="AN8" s="9">
        <f>+AM8+Outputs!AM25+AN10</f>
        <v>250</v>
      </c>
      <c r="AO8" s="9">
        <f>+AN8+Outputs!AN25+AO10</f>
        <v>250</v>
      </c>
      <c r="AP8" s="9">
        <f>+AO8+Outputs!AO25+AP10</f>
        <v>250</v>
      </c>
      <c r="AQ8" s="9">
        <f>+AP8+Outputs!AP25+AQ10</f>
        <v>250</v>
      </c>
      <c r="AR8" s="9">
        <f>+AQ8+Outputs!AQ25+AR10</f>
        <v>250</v>
      </c>
    </row>
    <row r="9" spans="1:44" s="29" customFormat="1" ht="10.5" x14ac:dyDescent="0.25">
      <c r="C9" s="30" t="s">
        <v>68</v>
      </c>
      <c r="D9" s="31"/>
      <c r="E9" s="31">
        <f t="shared" ref="E9:AK9" si="7">$D8-E8</f>
        <v>-25</v>
      </c>
      <c r="F9" s="31">
        <f t="shared" si="7"/>
        <v>-58</v>
      </c>
      <c r="G9" s="31">
        <f t="shared" si="7"/>
        <v>-2.2737367544323206E-13</v>
      </c>
      <c r="H9" s="31">
        <f t="shared" si="7"/>
        <v>0</v>
      </c>
      <c r="I9" s="31">
        <f t="shared" si="7"/>
        <v>0</v>
      </c>
      <c r="J9" s="31">
        <f t="shared" si="7"/>
        <v>0</v>
      </c>
      <c r="K9" s="31">
        <f t="shared" si="7"/>
        <v>0</v>
      </c>
      <c r="L9" s="31">
        <f t="shared" si="7"/>
        <v>0</v>
      </c>
      <c r="M9" s="31">
        <f t="shared" si="7"/>
        <v>0</v>
      </c>
      <c r="N9" s="31">
        <f t="shared" si="7"/>
        <v>0</v>
      </c>
      <c r="O9" s="31">
        <f t="shared" si="7"/>
        <v>0</v>
      </c>
      <c r="P9" s="31">
        <f t="shared" si="7"/>
        <v>0</v>
      </c>
      <c r="Q9" s="31">
        <f t="shared" si="7"/>
        <v>-4.5474735088646412E-13</v>
      </c>
      <c r="R9" s="31">
        <f t="shared" si="7"/>
        <v>-9.0949470177292824E-13</v>
      </c>
      <c r="S9" s="31">
        <f t="shared" si="7"/>
        <v>4.5474735088646412E-13</v>
      </c>
      <c r="T9" s="31">
        <f t="shared" si="7"/>
        <v>0</v>
      </c>
      <c r="U9" s="31">
        <f t="shared" si="7"/>
        <v>0</v>
      </c>
      <c r="V9" s="31">
        <f t="shared" si="7"/>
        <v>0</v>
      </c>
      <c r="W9" s="31">
        <f t="shared" si="7"/>
        <v>0</v>
      </c>
      <c r="X9" s="31">
        <f t="shared" si="7"/>
        <v>0</v>
      </c>
      <c r="Y9" s="31">
        <f t="shared" si="7"/>
        <v>0</v>
      </c>
      <c r="Z9" s="31">
        <f t="shared" si="7"/>
        <v>2.2737367544323206E-13</v>
      </c>
      <c r="AA9" s="31">
        <f t="shared" si="7"/>
        <v>0</v>
      </c>
      <c r="AB9" s="31">
        <f t="shared" si="7"/>
        <v>0</v>
      </c>
      <c r="AC9" s="31">
        <f t="shared" si="7"/>
        <v>0</v>
      </c>
      <c r="AD9" s="31">
        <f t="shared" si="7"/>
        <v>0</v>
      </c>
      <c r="AE9" s="31">
        <f t="shared" si="7"/>
        <v>0</v>
      </c>
      <c r="AF9" s="31">
        <f t="shared" si="7"/>
        <v>0</v>
      </c>
      <c r="AG9" s="31">
        <f t="shared" si="7"/>
        <v>0</v>
      </c>
      <c r="AH9" s="31">
        <f t="shared" si="7"/>
        <v>0</v>
      </c>
      <c r="AI9" s="31">
        <f t="shared" si="7"/>
        <v>0</v>
      </c>
      <c r="AJ9" s="31">
        <f t="shared" si="7"/>
        <v>0</v>
      </c>
      <c r="AK9" s="31">
        <f t="shared" si="7"/>
        <v>0</v>
      </c>
      <c r="AL9" s="31">
        <f t="shared" ref="AL9:AR9" si="8">$D8-AL8</f>
        <v>0</v>
      </c>
      <c r="AM9" s="31">
        <f t="shared" si="8"/>
        <v>0</v>
      </c>
      <c r="AN9" s="31">
        <f t="shared" si="8"/>
        <v>0</v>
      </c>
      <c r="AO9" s="31">
        <f t="shared" si="8"/>
        <v>0</v>
      </c>
      <c r="AP9" s="31">
        <f t="shared" si="8"/>
        <v>0</v>
      </c>
      <c r="AQ9" s="31">
        <f t="shared" si="8"/>
        <v>0</v>
      </c>
      <c r="AR9" s="32">
        <f t="shared" si="8"/>
        <v>0</v>
      </c>
    </row>
    <row r="10" spans="1:44" s="29" customFormat="1" ht="11" thickBot="1" x14ac:dyDescent="0.3">
      <c r="C10" s="33" t="s">
        <v>46</v>
      </c>
      <c r="D10" s="34"/>
      <c r="E10" s="35">
        <v>0</v>
      </c>
      <c r="F10" s="35">
        <v>446.55965411764703</v>
      </c>
      <c r="G10" s="35">
        <v>1436.8057292258484</v>
      </c>
      <c r="H10" s="35">
        <v>-336.36747615053116</v>
      </c>
      <c r="I10" s="35">
        <v>300.10351541949296</v>
      </c>
      <c r="J10" s="35">
        <v>-48.197233130690392</v>
      </c>
      <c r="K10" s="35">
        <v>125.92421696292688</v>
      </c>
      <c r="L10" s="35">
        <v>-557.52089562743674</v>
      </c>
      <c r="M10" s="35">
        <v>138.68195506441813</v>
      </c>
      <c r="N10" s="35">
        <v>192.58140557240245</v>
      </c>
      <c r="O10" s="35">
        <v>-25.327019877853253</v>
      </c>
      <c r="P10" s="35">
        <v>220.18164978433163</v>
      </c>
      <c r="Q10" s="35">
        <v>-1275.6620384693379</v>
      </c>
      <c r="R10" s="35">
        <v>-6172.3744464021756</v>
      </c>
      <c r="S10" s="35">
        <v>2156.5898014638683</v>
      </c>
      <c r="T10" s="35">
        <v>336.84629081983479</v>
      </c>
      <c r="U10" s="35">
        <v>332.68072031141128</v>
      </c>
      <c r="V10" s="35">
        <v>371.68719570766353</v>
      </c>
      <c r="W10" s="35">
        <v>537.66161384446502</v>
      </c>
      <c r="X10" s="35">
        <v>497.11804496411827</v>
      </c>
      <c r="Y10" s="35">
        <v>493.75136017602898</v>
      </c>
      <c r="Z10" s="35">
        <v>-811.14178282050784</v>
      </c>
      <c r="AA10" s="35">
        <v>497.27411129819171</v>
      </c>
      <c r="AB10" s="35">
        <v>754.2646264311212</v>
      </c>
      <c r="AC10" s="35">
        <v>486.58303563821858</v>
      </c>
      <c r="AD10" s="35">
        <v>502.14973170364868</v>
      </c>
      <c r="AE10" s="35">
        <v>570.34243471116247</v>
      </c>
      <c r="AF10" s="35">
        <v>548.79984314217643</v>
      </c>
      <c r="AG10" s="35">
        <v>619.60576147276663</v>
      </c>
      <c r="AH10" s="35">
        <v>-958.31079797184191</v>
      </c>
      <c r="AI10" s="35">
        <v>441.28427609850263</v>
      </c>
      <c r="AJ10" s="35">
        <v>684.72145538727489</v>
      </c>
      <c r="AK10" s="35">
        <v>-11.969195120664759</v>
      </c>
      <c r="AL10" s="35">
        <v>489.02755125990382</v>
      </c>
      <c r="AM10" s="35">
        <v>573.11697262282303</v>
      </c>
      <c r="AN10" s="35">
        <v>-1694.080162826893</v>
      </c>
      <c r="AO10" s="35">
        <v>567.01583159366101</v>
      </c>
      <c r="AP10" s="35">
        <v>-807.95512030413397</v>
      </c>
      <c r="AQ10" s="35">
        <v>606.58083512492522</v>
      </c>
      <c r="AR10" s="36">
        <v>627.28777617559172</v>
      </c>
    </row>
    <row r="12" spans="1:44" x14ac:dyDescent="0.35">
      <c r="B12" t="s">
        <v>22</v>
      </c>
      <c r="E12" s="38">
        <f>+Outputs!D30</f>
        <v>3116</v>
      </c>
      <c r="F12" s="38">
        <f>+Outputs!E30</f>
        <v>2784</v>
      </c>
      <c r="G12" s="38">
        <f>+Outputs!F30</f>
        <v>1347.1942707741516</v>
      </c>
      <c r="H12" s="38">
        <f>+Outputs!G30</f>
        <v>1683.5617469246827</v>
      </c>
      <c r="I12" s="38">
        <f>+Outputs!H30</f>
        <v>1383.4582315051898</v>
      </c>
      <c r="J12" s="38">
        <f>+Outputs!I30</f>
        <v>1431.6554646358802</v>
      </c>
      <c r="K12" s="38">
        <f>+Outputs!J30</f>
        <v>1305.7312476729533</v>
      </c>
      <c r="L12" s="38">
        <f>+Outputs!K30</f>
        <v>1863.2521433003899</v>
      </c>
      <c r="M12" s="38">
        <f>+Outputs!L30</f>
        <v>1724.5701882359717</v>
      </c>
      <c r="N12" s="38">
        <f>+Outputs!M30</f>
        <v>1531.9887826635693</v>
      </c>
      <c r="O12" s="38">
        <f>+Outputs!N30</f>
        <v>1557.3158025414225</v>
      </c>
      <c r="P12" s="38">
        <f>+Outputs!O30</f>
        <v>1337.1341527570908</v>
      </c>
      <c r="Q12" s="38">
        <f>+Outputs!P30</f>
        <v>2612.7961912264286</v>
      </c>
      <c r="R12" s="38">
        <f>+Outputs!Q30</f>
        <v>8785.1706376286038</v>
      </c>
      <c r="S12" s="38">
        <f>+Outputs!R30</f>
        <v>6628.580836164736</v>
      </c>
      <c r="T12" s="38">
        <f>+Outputs!S30</f>
        <v>6291.7345453449016</v>
      </c>
      <c r="U12" s="38">
        <f>+Outputs!T30</f>
        <v>5959.0538250334903</v>
      </c>
      <c r="V12" s="38">
        <f>+Outputs!U30</f>
        <v>5587.3666293258266</v>
      </c>
      <c r="W12" s="38">
        <f>+Outputs!V30</f>
        <v>5049.7050154813614</v>
      </c>
      <c r="X12" s="38">
        <f>+Outputs!W30</f>
        <v>4552.5869705172436</v>
      </c>
      <c r="Y12" s="38">
        <f>+Outputs!X30</f>
        <v>4058.8356103412148</v>
      </c>
      <c r="Z12" s="38">
        <f>+Outputs!Y30</f>
        <v>4869.9773931617228</v>
      </c>
      <c r="AA12" s="38">
        <f>+Outputs!Z30</f>
        <v>4372.7032818635307</v>
      </c>
      <c r="AB12" s="38">
        <f>+Outputs!AA30</f>
        <v>3618.4386554324096</v>
      </c>
      <c r="AC12" s="38">
        <f>+Outputs!AB30</f>
        <v>3131.8556197941912</v>
      </c>
      <c r="AD12" s="38">
        <f>+Outputs!AC30</f>
        <v>2629.7058880905424</v>
      </c>
      <c r="AE12" s="38">
        <f>+Outputs!AD30</f>
        <v>2059.3634533793802</v>
      </c>
      <c r="AF12" s="38">
        <f>+Outputs!AE30</f>
        <v>1510.5636102372036</v>
      </c>
      <c r="AG12" s="38">
        <f>+Outputs!AF30</f>
        <v>890.95784876443702</v>
      </c>
      <c r="AH12" s="38">
        <f>+Outputs!AG30</f>
        <v>1849.2686467362789</v>
      </c>
      <c r="AI12" s="38">
        <f>+Outputs!AH30</f>
        <v>1407.9843706377762</v>
      </c>
      <c r="AJ12" s="38">
        <f>+Outputs!AI30</f>
        <v>723.26291525050135</v>
      </c>
      <c r="AK12" s="38">
        <f>+Outputs!AJ30</f>
        <v>735.23211037116607</v>
      </c>
      <c r="AL12" s="38">
        <f>+Outputs!AK30</f>
        <v>246.20455911126226</v>
      </c>
      <c r="AM12" s="38">
        <f>+Outputs!AL30</f>
        <v>-326.91241351156077</v>
      </c>
      <c r="AN12" s="38">
        <f>+Outputs!AM30</f>
        <v>1367.1677493153322</v>
      </c>
      <c r="AO12" s="38">
        <f>+Outputs!AN30</f>
        <v>800.15191772167123</v>
      </c>
      <c r="AP12" s="38">
        <f>+Outputs!AO30</f>
        <v>1608.1070380258052</v>
      </c>
      <c r="AQ12" s="38">
        <f>+Outputs!AP30</f>
        <v>1001.52620290088</v>
      </c>
      <c r="AR12" s="38">
        <f>+Outputs!AQ30</f>
        <v>374.23842672528826</v>
      </c>
    </row>
    <row r="13" spans="1:44" x14ac:dyDescent="0.35">
      <c r="B13" s="11"/>
    </row>
    <row r="14" spans="1:44" x14ac:dyDescent="0.35">
      <c r="C14" s="11"/>
    </row>
    <row r="15" spans="1:44" x14ac:dyDescent="0.35">
      <c r="A15" s="95"/>
      <c r="C15" s="79" t="s">
        <v>22</v>
      </c>
      <c r="D15" s="59"/>
      <c r="E15" s="134">
        <f>2695+421</f>
        <v>3116</v>
      </c>
      <c r="F15" s="135">
        <v>2784</v>
      </c>
      <c r="G15" s="60">
        <f t="shared" ref="G15:AR15" si="9">+F15-G10</f>
        <v>1347.1942707741516</v>
      </c>
      <c r="H15" s="60">
        <f t="shared" si="9"/>
        <v>1683.5617469246827</v>
      </c>
      <c r="I15" s="60">
        <f t="shared" si="9"/>
        <v>1383.4582315051898</v>
      </c>
      <c r="J15" s="60">
        <f t="shared" si="9"/>
        <v>1431.6554646358802</v>
      </c>
      <c r="K15" s="60">
        <f t="shared" si="9"/>
        <v>1305.7312476729533</v>
      </c>
      <c r="L15" s="60">
        <f t="shared" si="9"/>
        <v>1863.2521433003899</v>
      </c>
      <c r="M15" s="60">
        <f t="shared" si="9"/>
        <v>1724.5701882359717</v>
      </c>
      <c r="N15" s="60">
        <f t="shared" si="9"/>
        <v>1531.9887826635693</v>
      </c>
      <c r="O15" s="60">
        <f t="shared" si="9"/>
        <v>1557.3158025414225</v>
      </c>
      <c r="P15" s="60">
        <f t="shared" si="9"/>
        <v>1337.1341527570908</v>
      </c>
      <c r="Q15" s="60">
        <f t="shared" si="9"/>
        <v>2612.7961912264286</v>
      </c>
      <c r="R15" s="60">
        <f t="shared" si="9"/>
        <v>8785.1706376286038</v>
      </c>
      <c r="S15" s="60">
        <f t="shared" si="9"/>
        <v>6628.580836164736</v>
      </c>
      <c r="T15" s="60">
        <f t="shared" si="9"/>
        <v>6291.7345453449016</v>
      </c>
      <c r="U15" s="60">
        <f t="shared" si="9"/>
        <v>5959.0538250334903</v>
      </c>
      <c r="V15" s="60">
        <f t="shared" si="9"/>
        <v>5587.3666293258266</v>
      </c>
      <c r="W15" s="60">
        <f t="shared" si="9"/>
        <v>5049.7050154813614</v>
      </c>
      <c r="X15" s="60">
        <f t="shared" si="9"/>
        <v>4552.5869705172436</v>
      </c>
      <c r="Y15" s="60">
        <f t="shared" si="9"/>
        <v>4058.8356103412148</v>
      </c>
      <c r="Z15" s="60">
        <f t="shared" si="9"/>
        <v>4869.9773931617228</v>
      </c>
      <c r="AA15" s="60">
        <f t="shared" si="9"/>
        <v>4372.7032818635307</v>
      </c>
      <c r="AB15" s="60">
        <f t="shared" si="9"/>
        <v>3618.4386554324096</v>
      </c>
      <c r="AC15" s="60">
        <f t="shared" si="9"/>
        <v>3131.8556197941912</v>
      </c>
      <c r="AD15" s="60">
        <f t="shared" si="9"/>
        <v>2629.7058880905424</v>
      </c>
      <c r="AE15" s="60">
        <f t="shared" si="9"/>
        <v>2059.3634533793802</v>
      </c>
      <c r="AF15" s="60">
        <f t="shared" si="9"/>
        <v>1510.5636102372036</v>
      </c>
      <c r="AG15" s="60">
        <f t="shared" si="9"/>
        <v>890.95784876443702</v>
      </c>
      <c r="AH15" s="60">
        <f t="shared" si="9"/>
        <v>1849.2686467362789</v>
      </c>
      <c r="AI15" s="60">
        <f t="shared" si="9"/>
        <v>1407.9843706377762</v>
      </c>
      <c r="AJ15" s="60">
        <f t="shared" si="9"/>
        <v>723.26291525050135</v>
      </c>
      <c r="AK15" s="60">
        <f t="shared" si="9"/>
        <v>735.23211037116607</v>
      </c>
      <c r="AL15" s="60">
        <f t="shared" si="9"/>
        <v>246.20455911126226</v>
      </c>
      <c r="AM15" s="60">
        <f t="shared" si="9"/>
        <v>-326.91241351156077</v>
      </c>
      <c r="AN15" s="60">
        <f t="shared" si="9"/>
        <v>1367.1677493153322</v>
      </c>
      <c r="AO15" s="60">
        <f t="shared" si="9"/>
        <v>800.15191772167123</v>
      </c>
      <c r="AP15" s="60">
        <f t="shared" si="9"/>
        <v>1608.1070380258052</v>
      </c>
      <c r="AQ15" s="60">
        <f t="shared" si="9"/>
        <v>1001.52620290088</v>
      </c>
      <c r="AR15" s="61">
        <f t="shared" si="9"/>
        <v>374.23842672528826</v>
      </c>
    </row>
    <row r="16" spans="1:44" x14ac:dyDescent="0.35">
      <c r="A16" s="96"/>
      <c r="C16" s="44" t="s">
        <v>87</v>
      </c>
      <c r="D16" t="s">
        <v>23</v>
      </c>
      <c r="E16" s="136">
        <f t="shared" ref="E16:AK16" si="10">+E6*1.2</f>
        <v>0.06</v>
      </c>
      <c r="F16" s="136">
        <f>+F18/((E15+F15)/2)</f>
        <v>4.983050847457627E-2</v>
      </c>
      <c r="G16" s="62">
        <f t="shared" si="10"/>
        <v>4.2000000000000003E-2</v>
      </c>
      <c r="H16" s="62">
        <f t="shared" si="10"/>
        <v>0.03</v>
      </c>
      <c r="I16" s="62">
        <f t="shared" si="10"/>
        <v>2.7E-2</v>
      </c>
      <c r="J16" s="62">
        <f t="shared" si="10"/>
        <v>2.4E-2</v>
      </c>
      <c r="K16" s="62">
        <f t="shared" si="10"/>
        <v>2.4E-2</v>
      </c>
      <c r="L16" s="62">
        <f t="shared" si="10"/>
        <v>2.4E-2</v>
      </c>
      <c r="M16" s="62">
        <f t="shared" si="10"/>
        <v>2.4E-2</v>
      </c>
      <c r="N16" s="62">
        <f t="shared" si="10"/>
        <v>2.4E-2</v>
      </c>
      <c r="O16" s="62">
        <f t="shared" si="10"/>
        <v>2.4E-2</v>
      </c>
      <c r="P16" s="62">
        <f t="shared" si="10"/>
        <v>2.4E-2</v>
      </c>
      <c r="Q16" s="62">
        <f t="shared" si="10"/>
        <v>2.4E-2</v>
      </c>
      <c r="R16" s="62">
        <f t="shared" si="10"/>
        <v>2.4E-2</v>
      </c>
      <c r="S16" s="62">
        <f t="shared" si="10"/>
        <v>2.4E-2</v>
      </c>
      <c r="T16" s="62">
        <f t="shared" si="10"/>
        <v>2.4E-2</v>
      </c>
      <c r="U16" s="62">
        <f t="shared" si="10"/>
        <v>2.4E-2</v>
      </c>
      <c r="V16" s="62">
        <f t="shared" si="10"/>
        <v>2.4E-2</v>
      </c>
      <c r="W16" s="62">
        <f t="shared" si="10"/>
        <v>2.4E-2</v>
      </c>
      <c r="X16" s="62">
        <f t="shared" si="10"/>
        <v>2.4E-2</v>
      </c>
      <c r="Y16" s="62">
        <f t="shared" si="10"/>
        <v>2.4E-2</v>
      </c>
      <c r="Z16" s="62">
        <f t="shared" si="10"/>
        <v>2.4E-2</v>
      </c>
      <c r="AA16" s="62">
        <f t="shared" si="10"/>
        <v>2.4E-2</v>
      </c>
      <c r="AB16" s="62">
        <f t="shared" si="10"/>
        <v>2.4E-2</v>
      </c>
      <c r="AC16" s="62">
        <f t="shared" si="10"/>
        <v>2.4E-2</v>
      </c>
      <c r="AD16" s="62">
        <f t="shared" si="10"/>
        <v>2.4E-2</v>
      </c>
      <c r="AE16" s="62">
        <f t="shared" si="10"/>
        <v>2.4E-2</v>
      </c>
      <c r="AF16" s="62">
        <f t="shared" si="10"/>
        <v>2.4E-2</v>
      </c>
      <c r="AG16" s="62">
        <f t="shared" si="10"/>
        <v>2.4E-2</v>
      </c>
      <c r="AH16" s="62">
        <f t="shared" si="10"/>
        <v>2.4E-2</v>
      </c>
      <c r="AI16" s="62">
        <f t="shared" si="10"/>
        <v>2.4E-2</v>
      </c>
      <c r="AJ16" s="62">
        <f t="shared" si="10"/>
        <v>2.4E-2</v>
      </c>
      <c r="AK16" s="62">
        <f t="shared" si="10"/>
        <v>2.4E-2</v>
      </c>
      <c r="AL16" s="62">
        <f t="shared" ref="AL16:AR16" si="11">+AL6*1.2</f>
        <v>2.4E-2</v>
      </c>
      <c r="AM16" s="62">
        <f t="shared" si="11"/>
        <v>2.4E-2</v>
      </c>
      <c r="AN16" s="62">
        <f t="shared" si="11"/>
        <v>2.4E-2</v>
      </c>
      <c r="AO16" s="62">
        <f t="shared" si="11"/>
        <v>2.4E-2</v>
      </c>
      <c r="AP16" s="62">
        <f t="shared" si="11"/>
        <v>2.4E-2</v>
      </c>
      <c r="AQ16" s="62">
        <f t="shared" si="11"/>
        <v>2.4E-2</v>
      </c>
      <c r="AR16" s="63">
        <f t="shared" si="11"/>
        <v>2.4E-2</v>
      </c>
    </row>
    <row r="17" spans="1:44" x14ac:dyDescent="0.35">
      <c r="A17" s="96"/>
      <c r="C17" s="54"/>
      <c r="E17" s="136"/>
      <c r="F17" s="137"/>
      <c r="AR17" s="64"/>
    </row>
    <row r="18" spans="1:44" x14ac:dyDescent="0.35">
      <c r="A18" s="96"/>
      <c r="C18" s="54"/>
      <c r="D18" t="s">
        <v>39</v>
      </c>
      <c r="E18" s="136"/>
      <c r="F18" s="138">
        <v>147</v>
      </c>
      <c r="G18" s="65">
        <f t="shared" ref="G18:AR18" si="12">((F15+G15)/2*G16)</f>
        <v>86.75507968625719</v>
      </c>
      <c r="H18" s="65">
        <f t="shared" si="12"/>
        <v>45.461340265482519</v>
      </c>
      <c r="I18" s="65">
        <f t="shared" si="12"/>
        <v>41.404769708803279</v>
      </c>
      <c r="J18" s="65">
        <f t="shared" si="12"/>
        <v>33.781364353692844</v>
      </c>
      <c r="K18" s="65">
        <f t="shared" si="12"/>
        <v>32.848640547706005</v>
      </c>
      <c r="L18" s="65">
        <f t="shared" si="12"/>
        <v>38.02780069168012</v>
      </c>
      <c r="M18" s="65">
        <f t="shared" si="12"/>
        <v>43.053867978436344</v>
      </c>
      <c r="N18" s="65">
        <f t="shared" si="12"/>
        <v>39.078707650794499</v>
      </c>
      <c r="O18" s="65">
        <f t="shared" si="12"/>
        <v>37.0716550224599</v>
      </c>
      <c r="P18" s="65">
        <f t="shared" si="12"/>
        <v>34.73339946358216</v>
      </c>
      <c r="Q18" s="65">
        <f t="shared" si="12"/>
        <v>47.39916412780223</v>
      </c>
      <c r="R18" s="65">
        <f t="shared" si="12"/>
        <v>136.77560194626039</v>
      </c>
      <c r="S18" s="65">
        <f t="shared" si="12"/>
        <v>184.96501768552008</v>
      </c>
      <c r="T18" s="65">
        <f t="shared" si="12"/>
        <v>155.04378457811566</v>
      </c>
      <c r="U18" s="65">
        <f t="shared" si="12"/>
        <v>147.00946044454071</v>
      </c>
      <c r="V18" s="65">
        <f t="shared" si="12"/>
        <v>138.5570454523118</v>
      </c>
      <c r="W18" s="65">
        <f t="shared" si="12"/>
        <v>127.64485973768625</v>
      </c>
      <c r="X18" s="65">
        <f t="shared" si="12"/>
        <v>115.22750383198326</v>
      </c>
      <c r="Y18" s="65">
        <f t="shared" si="12"/>
        <v>103.3370709703015</v>
      </c>
      <c r="Z18" s="65">
        <f t="shared" si="12"/>
        <v>107.14575604203525</v>
      </c>
      <c r="AA18" s="65">
        <f t="shared" si="12"/>
        <v>110.91216810030305</v>
      </c>
      <c r="AB18" s="65">
        <f t="shared" si="12"/>
        <v>95.893703247551286</v>
      </c>
      <c r="AC18" s="65">
        <f t="shared" si="12"/>
        <v>81.00353130271921</v>
      </c>
      <c r="AD18" s="65">
        <f t="shared" si="12"/>
        <v>69.138738094616798</v>
      </c>
      <c r="AE18" s="65">
        <f t="shared" si="12"/>
        <v>56.26883209763907</v>
      </c>
      <c r="AF18" s="65">
        <f t="shared" si="12"/>
        <v>42.839124763399006</v>
      </c>
      <c r="AG18" s="65">
        <f t="shared" si="12"/>
        <v>28.818257508019691</v>
      </c>
      <c r="AH18" s="65">
        <f t="shared" si="12"/>
        <v>32.88271794600859</v>
      </c>
      <c r="AI18" s="65">
        <f t="shared" si="12"/>
        <v>39.087036208488662</v>
      </c>
      <c r="AJ18" s="65">
        <f t="shared" si="12"/>
        <v>25.574967430659331</v>
      </c>
      <c r="AK18" s="65">
        <f t="shared" si="12"/>
        <v>17.501940307460011</v>
      </c>
      <c r="AL18" s="65">
        <f t="shared" si="12"/>
        <v>11.777240033789139</v>
      </c>
      <c r="AM18" s="65">
        <f t="shared" si="12"/>
        <v>-0.96849425280358226</v>
      </c>
      <c r="AN18" s="65">
        <f t="shared" si="12"/>
        <v>12.483064029645258</v>
      </c>
      <c r="AO18" s="65">
        <f t="shared" si="12"/>
        <v>26.007836004444041</v>
      </c>
      <c r="AP18" s="65">
        <f t="shared" si="12"/>
        <v>28.899107468969721</v>
      </c>
      <c r="AQ18" s="65">
        <f t="shared" si="12"/>
        <v>31.315598891120224</v>
      </c>
      <c r="AR18" s="66">
        <f t="shared" si="12"/>
        <v>16.50917555551402</v>
      </c>
    </row>
    <row r="19" spans="1:44" x14ac:dyDescent="0.35">
      <c r="A19" s="97"/>
      <c r="C19" s="55"/>
      <c r="D19" s="67"/>
      <c r="E19" s="139"/>
      <c r="F19" s="140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8"/>
    </row>
    <row r="20" spans="1:44" x14ac:dyDescent="0.35">
      <c r="C20" s="11"/>
    </row>
    <row r="21" spans="1:44" x14ac:dyDescent="0.35">
      <c r="A21" s="98"/>
      <c r="C21" s="40" t="s">
        <v>24</v>
      </c>
      <c r="D21" s="41" t="s">
        <v>81</v>
      </c>
      <c r="E21" s="134">
        <f>1342-421</f>
        <v>921</v>
      </c>
      <c r="F21" s="134">
        <v>1172</v>
      </c>
      <c r="G21" s="42">
        <f>+F21*(1+G28)-(G24*(1+G28))-G23</f>
        <v>1230.6000000000001</v>
      </c>
      <c r="H21" s="42">
        <f t="shared" ref="H21:AR21" si="13">+G21*(1+H28)-(H24*(1+H28))-H23</f>
        <v>1276.7475000000002</v>
      </c>
      <c r="I21" s="42">
        <f t="shared" si="13"/>
        <v>1113.087728125</v>
      </c>
      <c r="J21" s="42">
        <f t="shared" si="13"/>
        <v>1146.48035996875</v>
      </c>
      <c r="K21" s="42">
        <f t="shared" si="13"/>
        <v>1180.8747707678126</v>
      </c>
      <c r="L21" s="42">
        <f t="shared" si="13"/>
        <v>1216.3010138908471</v>
      </c>
      <c r="M21" s="42">
        <f t="shared" si="13"/>
        <v>1252.7900443075725</v>
      </c>
      <c r="N21" s="42">
        <f t="shared" si="13"/>
        <v>1290.3737456367996</v>
      </c>
      <c r="O21" s="42">
        <f t="shared" si="13"/>
        <v>1329.0849580059037</v>
      </c>
      <c r="P21" s="42">
        <f t="shared" si="13"/>
        <v>1368.9575067460808</v>
      </c>
      <c r="Q21" s="42">
        <f t="shared" si="13"/>
        <v>1410.0262319484632</v>
      </c>
      <c r="R21" s="42">
        <f t="shared" si="13"/>
        <v>1452.3270189069171</v>
      </c>
      <c r="S21" s="42">
        <f t="shared" si="13"/>
        <v>1495.8968294741246</v>
      </c>
      <c r="T21" s="42">
        <f t="shared" si="13"/>
        <v>1540.7737343583483</v>
      </c>
      <c r="U21" s="42">
        <f t="shared" si="13"/>
        <v>1586.9969463890989</v>
      </c>
      <c r="V21" s="42">
        <f t="shared" si="13"/>
        <v>1634.606854780772</v>
      </c>
      <c r="W21" s="42">
        <f t="shared" si="13"/>
        <v>1683.6450604241952</v>
      </c>
      <c r="X21" s="42">
        <f t="shared" si="13"/>
        <v>1734.1544122369212</v>
      </c>
      <c r="Y21" s="42">
        <f t="shared" si="13"/>
        <v>1786.1790446040288</v>
      </c>
      <c r="Z21" s="42">
        <f t="shared" si="13"/>
        <v>1839.7644159421498</v>
      </c>
      <c r="AA21" s="42">
        <f t="shared" si="13"/>
        <v>1894.9573484204143</v>
      </c>
      <c r="AB21" s="42">
        <f t="shared" si="13"/>
        <v>1951.8060688730268</v>
      </c>
      <c r="AC21" s="42">
        <f t="shared" si="13"/>
        <v>2010.3602509392176</v>
      </c>
      <c r="AD21" s="42">
        <f t="shared" si="13"/>
        <v>2070.6710584673942</v>
      </c>
      <c r="AE21" s="42">
        <f t="shared" si="13"/>
        <v>2132.7911902214159</v>
      </c>
      <c r="AF21" s="42">
        <f t="shared" si="13"/>
        <v>2196.7749259280586</v>
      </c>
      <c r="AG21" s="42">
        <f t="shared" si="13"/>
        <v>2262.6781737059005</v>
      </c>
      <c r="AH21" s="42">
        <f t="shared" si="13"/>
        <v>2330.5585189170774</v>
      </c>
      <c r="AI21" s="42">
        <f t="shared" si="13"/>
        <v>2400.47527448459</v>
      </c>
      <c r="AJ21" s="42">
        <f t="shared" si="13"/>
        <v>2472.489532719128</v>
      </c>
      <c r="AK21" s="42">
        <f t="shared" si="13"/>
        <v>2031.6642187007019</v>
      </c>
      <c r="AL21" s="42">
        <f t="shared" si="13"/>
        <v>2092.614145261723</v>
      </c>
      <c r="AM21" s="42">
        <f t="shared" si="13"/>
        <v>2155.3925696195747</v>
      </c>
      <c r="AN21" s="42">
        <f t="shared" si="13"/>
        <v>1808.054346708162</v>
      </c>
      <c r="AO21" s="42">
        <f t="shared" si="13"/>
        <v>1862.295977109407</v>
      </c>
      <c r="AP21" s="42">
        <f t="shared" si="13"/>
        <v>0</v>
      </c>
      <c r="AQ21" s="42">
        <f t="shared" si="13"/>
        <v>0</v>
      </c>
      <c r="AR21" s="42">
        <f t="shared" si="13"/>
        <v>0</v>
      </c>
    </row>
    <row r="22" spans="1:44" x14ac:dyDescent="0.35">
      <c r="A22" s="99"/>
      <c r="C22" s="44" t="s">
        <v>87</v>
      </c>
      <c r="D22" s="45" t="s">
        <v>82</v>
      </c>
      <c r="E22" s="138">
        <v>850</v>
      </c>
      <c r="F22" s="138">
        <f t="shared" ref="F22:AD22" si="14">IF(E21&gt;0,+E22-F23-(F24*E22/E21),0)</f>
        <v>850</v>
      </c>
      <c r="G22" s="46">
        <f t="shared" si="14"/>
        <v>850</v>
      </c>
      <c r="H22" s="46">
        <f t="shared" si="14"/>
        <v>850</v>
      </c>
      <c r="I22" s="46">
        <f t="shared" si="14"/>
        <v>716.84916163924345</v>
      </c>
      <c r="J22" s="46">
        <f t="shared" si="14"/>
        <v>716.84916163924345</v>
      </c>
      <c r="K22" s="46">
        <f t="shared" si="14"/>
        <v>716.84916163924345</v>
      </c>
      <c r="L22" s="46">
        <f t="shared" si="14"/>
        <v>716.84916163924345</v>
      </c>
      <c r="M22" s="46">
        <f t="shared" si="14"/>
        <v>716.84916163924345</v>
      </c>
      <c r="N22" s="46">
        <f t="shared" si="14"/>
        <v>716.84916163924345</v>
      </c>
      <c r="O22" s="46">
        <f t="shared" si="14"/>
        <v>716.84916163924345</v>
      </c>
      <c r="P22" s="46">
        <f t="shared" si="14"/>
        <v>716.84916163924345</v>
      </c>
      <c r="Q22" s="46">
        <f t="shared" si="14"/>
        <v>716.84916163924345</v>
      </c>
      <c r="R22" s="46">
        <f t="shared" si="14"/>
        <v>716.84916163924345</v>
      </c>
      <c r="S22" s="46">
        <f t="shared" si="14"/>
        <v>716.84916163924345</v>
      </c>
      <c r="T22" s="46">
        <f t="shared" si="14"/>
        <v>716.84916163924345</v>
      </c>
      <c r="U22" s="46">
        <f t="shared" si="14"/>
        <v>716.84916163924345</v>
      </c>
      <c r="V22" s="46">
        <f t="shared" si="14"/>
        <v>716.84916163924345</v>
      </c>
      <c r="W22" s="46">
        <f t="shared" si="14"/>
        <v>716.84916163924345</v>
      </c>
      <c r="X22" s="46">
        <f t="shared" si="14"/>
        <v>716.84916163924345</v>
      </c>
      <c r="Y22" s="46">
        <f t="shared" si="14"/>
        <v>716.84916163924345</v>
      </c>
      <c r="Z22" s="46">
        <f t="shared" si="14"/>
        <v>716.84916163924345</v>
      </c>
      <c r="AA22" s="46">
        <f t="shared" si="14"/>
        <v>716.84916163924345</v>
      </c>
      <c r="AB22" s="46">
        <f t="shared" si="14"/>
        <v>716.84916163924345</v>
      </c>
      <c r="AC22" s="46">
        <f t="shared" si="14"/>
        <v>716.84916163924345</v>
      </c>
      <c r="AD22" s="46">
        <f t="shared" si="14"/>
        <v>716.84916163924345</v>
      </c>
      <c r="AE22" s="46">
        <f t="shared" ref="AE22:AR22" si="15">IF(AD21&gt;0,+AD22-AE23-(AE24*AD22/AD21),0)</f>
        <v>716.84916163924345</v>
      </c>
      <c r="AF22" s="46">
        <f t="shared" si="15"/>
        <v>716.84916163924345</v>
      </c>
      <c r="AG22" s="46">
        <f t="shared" si="15"/>
        <v>716.84916163924345</v>
      </c>
      <c r="AH22" s="46">
        <f t="shared" si="15"/>
        <v>716.84916163924345</v>
      </c>
      <c r="AI22" s="46">
        <f t="shared" si="15"/>
        <v>716.84916163924345</v>
      </c>
      <c r="AJ22" s="46">
        <f t="shared" si="15"/>
        <v>716.84916163924345</v>
      </c>
      <c r="AK22" s="46">
        <f t="shared" si="15"/>
        <v>571.88410675165278</v>
      </c>
      <c r="AL22" s="46">
        <f t="shared" si="15"/>
        <v>571.88410675165278</v>
      </c>
      <c r="AM22" s="46">
        <f t="shared" si="15"/>
        <v>571.88410675165278</v>
      </c>
      <c r="AN22" s="46">
        <f t="shared" si="15"/>
        <v>465.75325804921152</v>
      </c>
      <c r="AO22" s="46">
        <f t="shared" si="15"/>
        <v>465.75325804921152</v>
      </c>
      <c r="AP22" s="46">
        <f t="shared" si="15"/>
        <v>0</v>
      </c>
      <c r="AQ22" s="46">
        <f t="shared" si="15"/>
        <v>0</v>
      </c>
      <c r="AR22" s="46">
        <f t="shared" si="15"/>
        <v>0</v>
      </c>
    </row>
    <row r="23" spans="1:44" s="2" customFormat="1" x14ac:dyDescent="0.35">
      <c r="A23" s="100"/>
      <c r="C23" s="48"/>
      <c r="D23" s="49" t="s">
        <v>69</v>
      </c>
      <c r="E23" s="138"/>
      <c r="F23" s="141">
        <v>0</v>
      </c>
      <c r="G23" s="84">
        <v>0</v>
      </c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8"/>
    </row>
    <row r="24" spans="1:44" s="2" customFormat="1" x14ac:dyDescent="0.35">
      <c r="A24" s="100"/>
      <c r="C24" s="48"/>
      <c r="D24" s="49" t="s">
        <v>70</v>
      </c>
      <c r="E24" s="138"/>
      <c r="F24" s="141"/>
      <c r="G24" s="84"/>
      <c r="H24" s="84">
        <v>0</v>
      </c>
      <c r="I24" s="84">
        <v>200</v>
      </c>
      <c r="J24" s="84"/>
      <c r="K24" s="84"/>
      <c r="L24" s="84"/>
      <c r="M24" s="84"/>
      <c r="N24" s="84"/>
      <c r="O24" s="84"/>
      <c r="P24" s="84"/>
      <c r="Q24" s="84">
        <v>0</v>
      </c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>
        <v>0</v>
      </c>
      <c r="AE24" s="84">
        <v>0</v>
      </c>
      <c r="AF24" s="84">
        <v>0</v>
      </c>
      <c r="AG24" s="84">
        <v>0</v>
      </c>
      <c r="AH24" s="84">
        <v>0</v>
      </c>
      <c r="AI24" s="84">
        <v>0</v>
      </c>
      <c r="AJ24" s="84">
        <v>0</v>
      </c>
      <c r="AK24" s="84">
        <v>500</v>
      </c>
      <c r="AL24" s="84">
        <v>0</v>
      </c>
      <c r="AM24" s="84">
        <v>0</v>
      </c>
      <c r="AN24" s="84">
        <v>400</v>
      </c>
      <c r="AO24" s="84">
        <v>0</v>
      </c>
      <c r="AP24" s="84">
        <f>+AO21</f>
        <v>1862.295977109407</v>
      </c>
      <c r="AQ24" s="84">
        <f t="shared" ref="AQ24:AR24" si="16">+AP21*(1+AP28)</f>
        <v>0</v>
      </c>
      <c r="AR24" s="84">
        <f t="shared" si="16"/>
        <v>0</v>
      </c>
    </row>
    <row r="25" spans="1:44" x14ac:dyDescent="0.35">
      <c r="A25" s="99"/>
      <c r="C25" s="44"/>
      <c r="D25" s="45" t="s">
        <v>83</v>
      </c>
      <c r="E25" s="138"/>
      <c r="F25" s="138">
        <f t="shared" ref="F25:AE25" si="17">IF(E21&gt;0,+F24-(F24*E22/E21),0)</f>
        <v>0</v>
      </c>
      <c r="G25" s="46">
        <f t="shared" si="17"/>
        <v>0</v>
      </c>
      <c r="H25" s="46">
        <f t="shared" si="17"/>
        <v>0</v>
      </c>
      <c r="I25" s="46">
        <f t="shared" si="17"/>
        <v>66.849161639243476</v>
      </c>
      <c r="J25" s="46">
        <f t="shared" si="17"/>
        <v>0</v>
      </c>
      <c r="K25" s="46">
        <f t="shared" si="17"/>
        <v>0</v>
      </c>
      <c r="L25" s="46">
        <f t="shared" si="17"/>
        <v>0</v>
      </c>
      <c r="M25" s="46">
        <f t="shared" si="17"/>
        <v>0</v>
      </c>
      <c r="N25" s="46">
        <f t="shared" si="17"/>
        <v>0</v>
      </c>
      <c r="O25" s="46">
        <f t="shared" si="17"/>
        <v>0</v>
      </c>
      <c r="P25" s="46">
        <f t="shared" si="17"/>
        <v>0</v>
      </c>
      <c r="Q25" s="46">
        <f t="shared" si="17"/>
        <v>0</v>
      </c>
      <c r="R25" s="46">
        <f t="shared" si="17"/>
        <v>0</v>
      </c>
      <c r="S25" s="46">
        <f t="shared" si="17"/>
        <v>0</v>
      </c>
      <c r="T25" s="46">
        <f t="shared" si="17"/>
        <v>0</v>
      </c>
      <c r="U25" s="46">
        <f t="shared" si="17"/>
        <v>0</v>
      </c>
      <c r="V25" s="46">
        <f t="shared" si="17"/>
        <v>0</v>
      </c>
      <c r="W25" s="46">
        <f t="shared" si="17"/>
        <v>0</v>
      </c>
      <c r="X25" s="46">
        <f t="shared" si="17"/>
        <v>0</v>
      </c>
      <c r="Y25" s="46">
        <f t="shared" si="17"/>
        <v>0</v>
      </c>
      <c r="Z25" s="46">
        <f t="shared" si="17"/>
        <v>0</v>
      </c>
      <c r="AA25" s="46">
        <f t="shared" si="17"/>
        <v>0</v>
      </c>
      <c r="AB25" s="46">
        <f t="shared" si="17"/>
        <v>0</v>
      </c>
      <c r="AC25" s="46">
        <f t="shared" si="17"/>
        <v>0</v>
      </c>
      <c r="AD25" s="46">
        <f t="shared" si="17"/>
        <v>0</v>
      </c>
      <c r="AE25" s="46">
        <f t="shared" si="17"/>
        <v>0</v>
      </c>
      <c r="AF25" s="46">
        <f>IF(AE21&gt;0,+AF24-(AF24*AE22/AE21),0)</f>
        <v>0</v>
      </c>
      <c r="AG25" s="46">
        <f t="shared" ref="AG25:AR25" si="18">IF(AF21&gt;0,+AG24-(AG24*AF22/AF21),0)</f>
        <v>0</v>
      </c>
      <c r="AH25" s="46">
        <f t="shared" si="18"/>
        <v>0</v>
      </c>
      <c r="AI25" s="46">
        <f t="shared" si="18"/>
        <v>0</v>
      </c>
      <c r="AJ25" s="46">
        <f t="shared" si="18"/>
        <v>0</v>
      </c>
      <c r="AK25" s="46">
        <f t="shared" si="18"/>
        <v>355.03494511240933</v>
      </c>
      <c r="AL25" s="46">
        <f t="shared" si="18"/>
        <v>0</v>
      </c>
      <c r="AM25" s="46">
        <f t="shared" si="18"/>
        <v>0</v>
      </c>
      <c r="AN25" s="46">
        <f t="shared" si="18"/>
        <v>293.86915129755874</v>
      </c>
      <c r="AO25" s="46">
        <f t="shared" si="18"/>
        <v>0</v>
      </c>
      <c r="AP25" s="46">
        <f t="shared" si="18"/>
        <v>1396.5427190601954</v>
      </c>
      <c r="AQ25" s="46">
        <f t="shared" si="18"/>
        <v>0</v>
      </c>
      <c r="AR25" s="46">
        <f t="shared" si="18"/>
        <v>0</v>
      </c>
    </row>
    <row r="26" spans="1:44" x14ac:dyDescent="0.35">
      <c r="A26" s="99"/>
      <c r="C26" s="44"/>
      <c r="D26" s="45" t="s">
        <v>1</v>
      </c>
      <c r="E26" s="138"/>
      <c r="F26" s="138">
        <f>+E25*0.25</f>
        <v>0</v>
      </c>
      <c r="G26" s="46">
        <f t="shared" ref="G26:AR26" si="19">+F25*0.25</f>
        <v>0</v>
      </c>
      <c r="H26" s="46">
        <f t="shared" si="19"/>
        <v>0</v>
      </c>
      <c r="I26" s="46">
        <f t="shared" si="19"/>
        <v>0</v>
      </c>
      <c r="J26" s="46">
        <f t="shared" si="19"/>
        <v>16.712290409810869</v>
      </c>
      <c r="K26" s="46">
        <f t="shared" si="19"/>
        <v>0</v>
      </c>
      <c r="L26" s="46">
        <f t="shared" si="19"/>
        <v>0</v>
      </c>
      <c r="M26" s="46">
        <f t="shared" si="19"/>
        <v>0</v>
      </c>
      <c r="N26" s="46">
        <f t="shared" si="19"/>
        <v>0</v>
      </c>
      <c r="O26" s="46">
        <f t="shared" si="19"/>
        <v>0</v>
      </c>
      <c r="P26" s="46">
        <f t="shared" si="19"/>
        <v>0</v>
      </c>
      <c r="Q26" s="46">
        <f t="shared" si="19"/>
        <v>0</v>
      </c>
      <c r="R26" s="46">
        <f t="shared" si="19"/>
        <v>0</v>
      </c>
      <c r="S26" s="46">
        <f t="shared" si="19"/>
        <v>0</v>
      </c>
      <c r="T26" s="46">
        <f t="shared" si="19"/>
        <v>0</v>
      </c>
      <c r="U26" s="46">
        <f t="shared" si="19"/>
        <v>0</v>
      </c>
      <c r="V26" s="46">
        <f t="shared" si="19"/>
        <v>0</v>
      </c>
      <c r="W26" s="46">
        <f t="shared" si="19"/>
        <v>0</v>
      </c>
      <c r="X26" s="46">
        <f t="shared" si="19"/>
        <v>0</v>
      </c>
      <c r="Y26" s="46">
        <f t="shared" si="19"/>
        <v>0</v>
      </c>
      <c r="Z26" s="46">
        <f t="shared" si="19"/>
        <v>0</v>
      </c>
      <c r="AA26" s="46">
        <f t="shared" si="19"/>
        <v>0</v>
      </c>
      <c r="AB26" s="46">
        <f t="shared" si="19"/>
        <v>0</v>
      </c>
      <c r="AC26" s="46">
        <f t="shared" si="19"/>
        <v>0</v>
      </c>
      <c r="AD26" s="46">
        <f t="shared" si="19"/>
        <v>0</v>
      </c>
      <c r="AE26" s="46">
        <f t="shared" si="19"/>
        <v>0</v>
      </c>
      <c r="AF26" s="46">
        <f t="shared" si="19"/>
        <v>0</v>
      </c>
      <c r="AG26" s="46">
        <f t="shared" si="19"/>
        <v>0</v>
      </c>
      <c r="AH26" s="46">
        <f t="shared" si="19"/>
        <v>0</v>
      </c>
      <c r="AI26" s="46">
        <f t="shared" si="19"/>
        <v>0</v>
      </c>
      <c r="AJ26" s="46">
        <f t="shared" si="19"/>
        <v>0</v>
      </c>
      <c r="AK26" s="46">
        <f t="shared" si="19"/>
        <v>0</v>
      </c>
      <c r="AL26" s="46">
        <f t="shared" si="19"/>
        <v>88.758736278102333</v>
      </c>
      <c r="AM26" s="46">
        <f t="shared" si="19"/>
        <v>0</v>
      </c>
      <c r="AN26" s="46">
        <f t="shared" si="19"/>
        <v>0</v>
      </c>
      <c r="AO26" s="46">
        <f t="shared" si="19"/>
        <v>73.467287824389686</v>
      </c>
      <c r="AP26" s="46">
        <f t="shared" si="19"/>
        <v>0</v>
      </c>
      <c r="AQ26" s="46">
        <f t="shared" si="19"/>
        <v>349.13567976504885</v>
      </c>
      <c r="AR26" s="46">
        <f t="shared" si="19"/>
        <v>0</v>
      </c>
    </row>
    <row r="27" spans="1:44" s="3" customFormat="1" ht="15.5" customHeight="1" x14ac:dyDescent="0.35">
      <c r="A27" s="101"/>
      <c r="C27" s="51"/>
      <c r="D27" s="52" t="s">
        <v>25</v>
      </c>
      <c r="E27" s="142">
        <f t="shared" ref="E27:AK27" si="20">+E6*0.75</f>
        <v>3.7500000000000006E-2</v>
      </c>
      <c r="F27" s="142">
        <f>+F29/((E21+F21)/2)</f>
        <v>3.5355948399426664E-2</v>
      </c>
      <c r="G27" s="53">
        <f t="shared" si="20"/>
        <v>2.6250000000000002E-2</v>
      </c>
      <c r="H27" s="53">
        <f t="shared" si="20"/>
        <v>1.8750000000000003E-2</v>
      </c>
      <c r="I27" s="53">
        <f t="shared" si="20"/>
        <v>1.6875000000000001E-2</v>
      </c>
      <c r="J27" s="53">
        <f t="shared" si="20"/>
        <v>1.4999999999999999E-2</v>
      </c>
      <c r="K27" s="53">
        <f t="shared" si="20"/>
        <v>1.4999999999999999E-2</v>
      </c>
      <c r="L27" s="53">
        <f t="shared" si="20"/>
        <v>1.4999999999999999E-2</v>
      </c>
      <c r="M27" s="53">
        <f t="shared" si="20"/>
        <v>1.4999999999999999E-2</v>
      </c>
      <c r="N27" s="53">
        <f t="shared" si="20"/>
        <v>1.4999999999999999E-2</v>
      </c>
      <c r="O27" s="53">
        <f t="shared" si="20"/>
        <v>1.4999999999999999E-2</v>
      </c>
      <c r="P27" s="53">
        <f t="shared" si="20"/>
        <v>1.4999999999999999E-2</v>
      </c>
      <c r="Q27" s="53">
        <f t="shared" si="20"/>
        <v>1.4999999999999999E-2</v>
      </c>
      <c r="R27" s="53">
        <f t="shared" si="20"/>
        <v>1.4999999999999999E-2</v>
      </c>
      <c r="S27" s="53">
        <f t="shared" si="20"/>
        <v>1.4999999999999999E-2</v>
      </c>
      <c r="T27" s="53">
        <f t="shared" si="20"/>
        <v>1.4999999999999999E-2</v>
      </c>
      <c r="U27" s="53">
        <f t="shared" si="20"/>
        <v>1.4999999999999999E-2</v>
      </c>
      <c r="V27" s="53">
        <f t="shared" si="20"/>
        <v>1.4999999999999999E-2</v>
      </c>
      <c r="W27" s="53">
        <f t="shared" si="20"/>
        <v>1.4999999999999999E-2</v>
      </c>
      <c r="X27" s="53">
        <f t="shared" si="20"/>
        <v>1.4999999999999999E-2</v>
      </c>
      <c r="Y27" s="53">
        <f t="shared" si="20"/>
        <v>1.4999999999999999E-2</v>
      </c>
      <c r="Z27" s="53">
        <f t="shared" si="20"/>
        <v>1.4999999999999999E-2</v>
      </c>
      <c r="AA27" s="53">
        <f t="shared" si="20"/>
        <v>1.4999999999999999E-2</v>
      </c>
      <c r="AB27" s="53">
        <f t="shared" si="20"/>
        <v>1.4999999999999999E-2</v>
      </c>
      <c r="AC27" s="53">
        <f t="shared" si="20"/>
        <v>1.4999999999999999E-2</v>
      </c>
      <c r="AD27" s="53">
        <f t="shared" si="20"/>
        <v>1.4999999999999999E-2</v>
      </c>
      <c r="AE27" s="53">
        <f t="shared" si="20"/>
        <v>1.4999999999999999E-2</v>
      </c>
      <c r="AF27" s="53">
        <f t="shared" si="20"/>
        <v>1.4999999999999999E-2</v>
      </c>
      <c r="AG27" s="53">
        <f t="shared" si="20"/>
        <v>1.4999999999999999E-2</v>
      </c>
      <c r="AH27" s="53">
        <f t="shared" si="20"/>
        <v>1.4999999999999999E-2</v>
      </c>
      <c r="AI27" s="53">
        <f t="shared" si="20"/>
        <v>1.4999999999999999E-2</v>
      </c>
      <c r="AJ27" s="53">
        <f t="shared" si="20"/>
        <v>1.4999999999999999E-2</v>
      </c>
      <c r="AK27" s="53">
        <f t="shared" si="20"/>
        <v>1.4999999999999999E-2</v>
      </c>
      <c r="AL27" s="53">
        <f t="shared" ref="AL27:AR27" si="21">+AL6*0.75</f>
        <v>1.4999999999999999E-2</v>
      </c>
      <c r="AM27" s="53">
        <f t="shared" si="21"/>
        <v>1.4999999999999999E-2</v>
      </c>
      <c r="AN27" s="53">
        <f t="shared" si="21"/>
        <v>1.4999999999999999E-2</v>
      </c>
      <c r="AO27" s="53">
        <f t="shared" si="21"/>
        <v>1.4999999999999999E-2</v>
      </c>
      <c r="AP27" s="53">
        <f t="shared" si="21"/>
        <v>1.4999999999999999E-2</v>
      </c>
      <c r="AQ27" s="53">
        <f t="shared" si="21"/>
        <v>1.4999999999999999E-2</v>
      </c>
      <c r="AR27" s="53">
        <f t="shared" si="21"/>
        <v>1.4999999999999999E-2</v>
      </c>
    </row>
    <row r="28" spans="1:44" x14ac:dyDescent="0.35">
      <c r="A28" s="99"/>
      <c r="C28" s="54"/>
      <c r="D28" s="25" t="s">
        <v>26</v>
      </c>
      <c r="E28" s="142">
        <f t="shared" ref="E28" si="22">+E6*1.25</f>
        <v>6.25E-2</v>
      </c>
      <c r="F28" s="142">
        <f>+F21/E21-1</f>
        <v>0.27252985884907699</v>
      </c>
      <c r="G28" s="53">
        <v>0.05</v>
      </c>
      <c r="H28" s="53">
        <f>+H6*1.5</f>
        <v>3.7500000000000006E-2</v>
      </c>
      <c r="I28" s="53">
        <f t="shared" ref="I28:AR28" si="23">+I6*1.5</f>
        <v>3.3750000000000002E-2</v>
      </c>
      <c r="J28" s="53">
        <f t="shared" si="23"/>
        <v>0.03</v>
      </c>
      <c r="K28" s="53">
        <f t="shared" si="23"/>
        <v>0.03</v>
      </c>
      <c r="L28" s="53">
        <f t="shared" si="23"/>
        <v>0.03</v>
      </c>
      <c r="M28" s="53">
        <f t="shared" si="23"/>
        <v>0.03</v>
      </c>
      <c r="N28" s="53">
        <f t="shared" si="23"/>
        <v>0.03</v>
      </c>
      <c r="O28" s="53">
        <f t="shared" si="23"/>
        <v>0.03</v>
      </c>
      <c r="P28" s="53">
        <f t="shared" si="23"/>
        <v>0.03</v>
      </c>
      <c r="Q28" s="53">
        <f t="shared" si="23"/>
        <v>0.03</v>
      </c>
      <c r="R28" s="53">
        <f t="shared" si="23"/>
        <v>0.03</v>
      </c>
      <c r="S28" s="53">
        <f t="shared" si="23"/>
        <v>0.03</v>
      </c>
      <c r="T28" s="53">
        <f t="shared" si="23"/>
        <v>0.03</v>
      </c>
      <c r="U28" s="53">
        <f t="shared" si="23"/>
        <v>0.03</v>
      </c>
      <c r="V28" s="53">
        <f t="shared" si="23"/>
        <v>0.03</v>
      </c>
      <c r="W28" s="53">
        <f t="shared" si="23"/>
        <v>0.03</v>
      </c>
      <c r="X28" s="53">
        <f t="shared" si="23"/>
        <v>0.03</v>
      </c>
      <c r="Y28" s="53">
        <f t="shared" si="23"/>
        <v>0.03</v>
      </c>
      <c r="Z28" s="53">
        <f t="shared" si="23"/>
        <v>0.03</v>
      </c>
      <c r="AA28" s="53">
        <f t="shared" si="23"/>
        <v>0.03</v>
      </c>
      <c r="AB28" s="53">
        <f t="shared" si="23"/>
        <v>0.03</v>
      </c>
      <c r="AC28" s="53">
        <f t="shared" si="23"/>
        <v>0.03</v>
      </c>
      <c r="AD28" s="53">
        <f t="shared" si="23"/>
        <v>0.03</v>
      </c>
      <c r="AE28" s="53">
        <f t="shared" si="23"/>
        <v>0.03</v>
      </c>
      <c r="AF28" s="53">
        <f t="shared" si="23"/>
        <v>0.03</v>
      </c>
      <c r="AG28" s="53">
        <f t="shared" si="23"/>
        <v>0.03</v>
      </c>
      <c r="AH28" s="53">
        <f t="shared" si="23"/>
        <v>0.03</v>
      </c>
      <c r="AI28" s="53">
        <f t="shared" si="23"/>
        <v>0.03</v>
      </c>
      <c r="AJ28" s="53">
        <f t="shared" si="23"/>
        <v>0.03</v>
      </c>
      <c r="AK28" s="53">
        <f t="shared" si="23"/>
        <v>0.03</v>
      </c>
      <c r="AL28" s="53">
        <f t="shared" si="23"/>
        <v>0.03</v>
      </c>
      <c r="AM28" s="53">
        <f t="shared" si="23"/>
        <v>0.03</v>
      </c>
      <c r="AN28" s="53">
        <f t="shared" si="23"/>
        <v>0.03</v>
      </c>
      <c r="AO28" s="53">
        <f t="shared" si="23"/>
        <v>0.03</v>
      </c>
      <c r="AP28" s="53">
        <f t="shared" si="23"/>
        <v>0.03</v>
      </c>
      <c r="AQ28" s="53">
        <f t="shared" si="23"/>
        <v>0.03</v>
      </c>
      <c r="AR28" s="53">
        <f t="shared" si="23"/>
        <v>0.03</v>
      </c>
    </row>
    <row r="29" spans="1:44" x14ac:dyDescent="0.35">
      <c r="A29" s="99"/>
      <c r="C29" s="55"/>
      <c r="D29" s="56" t="s">
        <v>40</v>
      </c>
      <c r="E29" s="139"/>
      <c r="F29" s="139">
        <v>37</v>
      </c>
      <c r="G29" s="58">
        <f t="shared" ref="G29:AR29" si="24">+(F21+G21)/2*G27</f>
        <v>31.534125000000007</v>
      </c>
      <c r="H29" s="58">
        <f t="shared" si="24"/>
        <v>23.506382812500007</v>
      </c>
      <c r="I29" s="58">
        <f t="shared" si="24"/>
        <v>20.164234737304689</v>
      </c>
      <c r="J29" s="58">
        <f t="shared" si="24"/>
        <v>16.946760660703124</v>
      </c>
      <c r="K29" s="58">
        <f t="shared" si="24"/>
        <v>17.455163480524217</v>
      </c>
      <c r="L29" s="58">
        <f t="shared" si="24"/>
        <v>17.978818384939949</v>
      </c>
      <c r="M29" s="58">
        <f t="shared" si="24"/>
        <v>18.518182936488149</v>
      </c>
      <c r="N29" s="58">
        <f t="shared" si="24"/>
        <v>19.073728424582789</v>
      </c>
      <c r="O29" s="58">
        <f t="shared" si="24"/>
        <v>19.645940277320275</v>
      </c>
      <c r="P29" s="58">
        <f t="shared" si="24"/>
        <v>20.235318485639883</v>
      </c>
      <c r="Q29" s="58">
        <f t="shared" si="24"/>
        <v>20.842378040209077</v>
      </c>
      <c r="R29" s="58">
        <f t="shared" si="24"/>
        <v>21.467649381415352</v>
      </c>
      <c r="S29" s="58">
        <f t="shared" si="24"/>
        <v>22.111678862857811</v>
      </c>
      <c r="T29" s="58">
        <f t="shared" si="24"/>
        <v>22.775029228743545</v>
      </c>
      <c r="U29" s="58">
        <f t="shared" si="24"/>
        <v>23.458280105605851</v>
      </c>
      <c r="V29" s="58">
        <f t="shared" si="24"/>
        <v>24.162028508774032</v>
      </c>
      <c r="W29" s="58">
        <f t="shared" si="24"/>
        <v>24.886889364037252</v>
      </c>
      <c r="X29" s="58">
        <f t="shared" si="24"/>
        <v>25.63349604495837</v>
      </c>
      <c r="Y29" s="58">
        <f t="shared" si="24"/>
        <v>26.402500926307123</v>
      </c>
      <c r="Z29" s="58">
        <f t="shared" si="24"/>
        <v>27.194575954096337</v>
      </c>
      <c r="AA29" s="58">
        <f t="shared" si="24"/>
        <v>28.01041323271923</v>
      </c>
      <c r="AB29" s="58">
        <f t="shared" si="24"/>
        <v>28.850725629700808</v>
      </c>
      <c r="AC29" s="58">
        <f t="shared" si="24"/>
        <v>29.716247398591829</v>
      </c>
      <c r="AD29" s="58">
        <f t="shared" si="24"/>
        <v>30.607734820549588</v>
      </c>
      <c r="AE29" s="58">
        <f t="shared" si="24"/>
        <v>31.525966865166076</v>
      </c>
      <c r="AF29" s="58">
        <f t="shared" si="24"/>
        <v>32.471745871121058</v>
      </c>
      <c r="AG29" s="58">
        <f t="shared" si="24"/>
        <v>33.445898247254689</v>
      </c>
      <c r="AH29" s="58">
        <f t="shared" si="24"/>
        <v>34.449275194672332</v>
      </c>
      <c r="AI29" s="58">
        <f t="shared" si="24"/>
        <v>35.482753450512512</v>
      </c>
      <c r="AJ29" s="58">
        <f t="shared" si="24"/>
        <v>36.547236054027884</v>
      </c>
      <c r="AK29" s="58">
        <f t="shared" si="24"/>
        <v>33.781153135648722</v>
      </c>
      <c r="AL29" s="58">
        <f t="shared" si="24"/>
        <v>30.932087729718187</v>
      </c>
      <c r="AM29" s="58">
        <f t="shared" si="24"/>
        <v>31.860050361609733</v>
      </c>
      <c r="AN29" s="58">
        <f t="shared" si="24"/>
        <v>29.725851872458023</v>
      </c>
      <c r="AO29" s="58">
        <f t="shared" si="24"/>
        <v>27.527627428631767</v>
      </c>
      <c r="AP29" s="58">
        <f t="shared" si="24"/>
        <v>13.967219828320552</v>
      </c>
      <c r="AQ29" s="58">
        <f t="shared" si="24"/>
        <v>0</v>
      </c>
      <c r="AR29" s="58">
        <f t="shared" si="24"/>
        <v>0</v>
      </c>
    </row>
    <row r="30" spans="1:44" x14ac:dyDescent="0.35">
      <c r="A30" s="99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 x14ac:dyDescent="0.35">
      <c r="A31" s="99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 x14ac:dyDescent="0.35">
      <c r="A32" s="99"/>
      <c r="C32" s="40" t="s">
        <v>98</v>
      </c>
      <c r="D32" s="41" t="s">
        <v>81</v>
      </c>
      <c r="E32" s="134">
        <v>0</v>
      </c>
      <c r="F32" s="134">
        <f>+E32*(1+E38)-(F35*(1+E38))-F34</f>
        <v>0</v>
      </c>
      <c r="G32" s="42">
        <f>+F32*(1+G38)-(G35*(1+G38))-G34</f>
        <v>74</v>
      </c>
      <c r="H32" s="42">
        <f t="shared" ref="H32:AR32" si="25">+G32*(1+H38)-(H35*(1+H38))-H34</f>
        <v>227.7</v>
      </c>
      <c r="I32" s="42">
        <f t="shared" si="25"/>
        <v>389.08500000000004</v>
      </c>
      <c r="J32" s="42">
        <f t="shared" si="25"/>
        <v>534.53925000000004</v>
      </c>
      <c r="K32" s="42">
        <f t="shared" si="25"/>
        <v>561.26621250000005</v>
      </c>
      <c r="L32" s="42">
        <f t="shared" si="25"/>
        <v>589.32952312500004</v>
      </c>
      <c r="M32" s="42">
        <f t="shared" si="25"/>
        <v>618.79599928125003</v>
      </c>
      <c r="N32" s="42">
        <f t="shared" si="25"/>
        <v>649.73579924531259</v>
      </c>
      <c r="O32" s="42">
        <f t="shared" si="25"/>
        <v>577.22258920757827</v>
      </c>
      <c r="P32" s="42">
        <f t="shared" si="25"/>
        <v>501.08371866795721</v>
      </c>
      <c r="Q32" s="42">
        <f t="shared" si="25"/>
        <v>421.1379046013551</v>
      </c>
      <c r="R32" s="42">
        <f t="shared" si="25"/>
        <v>337.19479983142287</v>
      </c>
      <c r="S32" s="42">
        <f t="shared" si="25"/>
        <v>249.054539822994</v>
      </c>
      <c r="T32" s="42">
        <f t="shared" si="25"/>
        <v>156.50726681414369</v>
      </c>
      <c r="U32" s="42">
        <f t="shared" si="25"/>
        <v>0</v>
      </c>
      <c r="V32" s="42">
        <f t="shared" si="25"/>
        <v>0</v>
      </c>
      <c r="W32" s="42">
        <f t="shared" si="25"/>
        <v>0</v>
      </c>
      <c r="X32" s="42">
        <f t="shared" si="25"/>
        <v>0</v>
      </c>
      <c r="Y32" s="42">
        <f t="shared" si="25"/>
        <v>0</v>
      </c>
      <c r="Z32" s="42">
        <f t="shared" si="25"/>
        <v>0</v>
      </c>
      <c r="AA32" s="42">
        <f t="shared" si="25"/>
        <v>0</v>
      </c>
      <c r="AB32" s="42">
        <f t="shared" si="25"/>
        <v>0</v>
      </c>
      <c r="AC32" s="42">
        <f t="shared" si="25"/>
        <v>0</v>
      </c>
      <c r="AD32" s="42">
        <f t="shared" si="25"/>
        <v>0</v>
      </c>
      <c r="AE32" s="42">
        <f t="shared" si="25"/>
        <v>0</v>
      </c>
      <c r="AF32" s="42">
        <f t="shared" si="25"/>
        <v>0</v>
      </c>
      <c r="AG32" s="42">
        <f t="shared" si="25"/>
        <v>0</v>
      </c>
      <c r="AH32" s="42">
        <f t="shared" si="25"/>
        <v>0</v>
      </c>
      <c r="AI32" s="42">
        <f t="shared" si="25"/>
        <v>0</v>
      </c>
      <c r="AJ32" s="42">
        <f t="shared" si="25"/>
        <v>0</v>
      </c>
      <c r="AK32" s="42">
        <f t="shared" si="25"/>
        <v>0</v>
      </c>
      <c r="AL32" s="42">
        <f t="shared" si="25"/>
        <v>0</v>
      </c>
      <c r="AM32" s="42">
        <f t="shared" si="25"/>
        <v>0</v>
      </c>
      <c r="AN32" s="42">
        <f t="shared" si="25"/>
        <v>0</v>
      </c>
      <c r="AO32" s="42">
        <f t="shared" si="25"/>
        <v>0</v>
      </c>
      <c r="AP32" s="42">
        <f t="shared" si="25"/>
        <v>0</v>
      </c>
      <c r="AQ32" s="42">
        <f t="shared" si="25"/>
        <v>0</v>
      </c>
      <c r="AR32" s="42">
        <f t="shared" si="25"/>
        <v>0</v>
      </c>
    </row>
    <row r="33" spans="1:44" x14ac:dyDescent="0.35">
      <c r="A33" s="99"/>
      <c r="C33" s="69"/>
      <c r="D33" s="45" t="s">
        <v>82</v>
      </c>
      <c r="E33" s="138">
        <v>0</v>
      </c>
      <c r="F33" s="138">
        <f t="shared" ref="F33" si="26">IF(E32&gt;0,+E33-F34-(F35*E33/E32),0)</f>
        <v>0</v>
      </c>
      <c r="G33" s="46">
        <f>IF(F32&gt;0,+F33-G34-(G35*F33/F32),-G34)</f>
        <v>74</v>
      </c>
      <c r="H33" s="46">
        <f t="shared" ref="H33:AR33" si="27">IF(G32&gt;0,+G33-H34-(H35*G33/G32),-H34)</f>
        <v>224</v>
      </c>
      <c r="I33" s="46">
        <f t="shared" si="27"/>
        <v>374</v>
      </c>
      <c r="J33" s="46">
        <f t="shared" si="27"/>
        <v>500</v>
      </c>
      <c r="K33" s="46">
        <f t="shared" si="27"/>
        <v>500</v>
      </c>
      <c r="L33" s="46">
        <f t="shared" si="27"/>
        <v>500</v>
      </c>
      <c r="M33" s="46">
        <f t="shared" si="27"/>
        <v>500</v>
      </c>
      <c r="N33" s="46">
        <f t="shared" si="27"/>
        <v>500</v>
      </c>
      <c r="O33" s="46">
        <f t="shared" si="27"/>
        <v>423.04564400164423</v>
      </c>
      <c r="P33" s="46">
        <f t="shared" si="27"/>
        <v>349.75578114606731</v>
      </c>
      <c r="Q33" s="46">
        <f t="shared" si="27"/>
        <v>279.9559117598036</v>
      </c>
      <c r="R33" s="46">
        <f t="shared" si="27"/>
        <v>213.47984567764769</v>
      </c>
      <c r="S33" s="46">
        <f t="shared" si="27"/>
        <v>150.1693065517849</v>
      </c>
      <c r="T33" s="46">
        <f t="shared" si="27"/>
        <v>89.873555003344137</v>
      </c>
      <c r="U33" s="46">
        <f t="shared" si="27"/>
        <v>0</v>
      </c>
      <c r="V33" s="46">
        <f t="shared" si="27"/>
        <v>0</v>
      </c>
      <c r="W33" s="46">
        <f t="shared" si="27"/>
        <v>0</v>
      </c>
      <c r="X33" s="46">
        <f t="shared" si="27"/>
        <v>0</v>
      </c>
      <c r="Y33" s="46">
        <f t="shared" si="27"/>
        <v>0</v>
      </c>
      <c r="Z33" s="46">
        <f t="shared" si="27"/>
        <v>0</v>
      </c>
      <c r="AA33" s="46">
        <f t="shared" si="27"/>
        <v>0</v>
      </c>
      <c r="AB33" s="46">
        <f t="shared" si="27"/>
        <v>0</v>
      </c>
      <c r="AC33" s="46">
        <f t="shared" si="27"/>
        <v>0</v>
      </c>
      <c r="AD33" s="46">
        <f t="shared" si="27"/>
        <v>0</v>
      </c>
      <c r="AE33" s="46">
        <f t="shared" si="27"/>
        <v>0</v>
      </c>
      <c r="AF33" s="46">
        <f t="shared" si="27"/>
        <v>0</v>
      </c>
      <c r="AG33" s="46">
        <f t="shared" si="27"/>
        <v>0</v>
      </c>
      <c r="AH33" s="46">
        <f t="shared" si="27"/>
        <v>0</v>
      </c>
      <c r="AI33" s="46">
        <f t="shared" si="27"/>
        <v>0</v>
      </c>
      <c r="AJ33" s="46">
        <f t="shared" si="27"/>
        <v>0</v>
      </c>
      <c r="AK33" s="46">
        <f t="shared" si="27"/>
        <v>0</v>
      </c>
      <c r="AL33" s="46">
        <f t="shared" si="27"/>
        <v>0</v>
      </c>
      <c r="AM33" s="46">
        <f t="shared" si="27"/>
        <v>0</v>
      </c>
      <c r="AN33" s="46">
        <f t="shared" si="27"/>
        <v>0</v>
      </c>
      <c r="AO33" s="46">
        <f t="shared" si="27"/>
        <v>0</v>
      </c>
      <c r="AP33" s="46">
        <f t="shared" si="27"/>
        <v>0</v>
      </c>
      <c r="AQ33" s="46">
        <f t="shared" si="27"/>
        <v>0</v>
      </c>
      <c r="AR33" s="2">
        <f t="shared" si="27"/>
        <v>0</v>
      </c>
    </row>
    <row r="34" spans="1:44" s="2" customFormat="1" x14ac:dyDescent="0.35">
      <c r="A34" s="100"/>
      <c r="C34" s="76" t="s">
        <v>84</v>
      </c>
      <c r="D34" s="49" t="s">
        <v>69</v>
      </c>
      <c r="E34" s="138"/>
      <c r="F34" s="141">
        <v>0</v>
      </c>
      <c r="G34" s="84">
        <v>-74</v>
      </c>
      <c r="H34" s="84">
        <v>-150</v>
      </c>
      <c r="I34" s="84">
        <v>-150</v>
      </c>
      <c r="J34" s="84">
        <v>-126</v>
      </c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8"/>
    </row>
    <row r="35" spans="1:44" s="2" customFormat="1" x14ac:dyDescent="0.35">
      <c r="A35" s="100"/>
      <c r="C35" s="48"/>
      <c r="D35" s="49" t="s">
        <v>59</v>
      </c>
      <c r="E35" s="138"/>
      <c r="F35" s="141"/>
      <c r="G35" s="84"/>
      <c r="H35" s="84"/>
      <c r="I35" s="84"/>
      <c r="J35" s="84">
        <v>0</v>
      </c>
      <c r="K35" s="84">
        <v>0</v>
      </c>
      <c r="L35" s="84">
        <v>0</v>
      </c>
      <c r="M35" s="84">
        <v>0</v>
      </c>
      <c r="N35" s="84">
        <v>0</v>
      </c>
      <c r="O35" s="84">
        <v>100</v>
      </c>
      <c r="P35" s="84">
        <f>+O35</f>
        <v>100</v>
      </c>
      <c r="Q35" s="84">
        <f>+P35</f>
        <v>100</v>
      </c>
      <c r="R35" s="84">
        <f>+Q35</f>
        <v>100</v>
      </c>
      <c r="S35" s="84">
        <f>+R35</f>
        <v>100</v>
      </c>
      <c r="T35" s="84">
        <f>+S35</f>
        <v>100</v>
      </c>
      <c r="U35" s="84">
        <f>+T32</f>
        <v>156.50726681414369</v>
      </c>
      <c r="V35" s="84">
        <f>+U32</f>
        <v>0</v>
      </c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</row>
    <row r="36" spans="1:44" x14ac:dyDescent="0.35">
      <c r="A36" s="99"/>
      <c r="C36" s="44"/>
      <c r="D36" s="45" t="s">
        <v>83</v>
      </c>
      <c r="E36" s="138"/>
      <c r="F36" s="138">
        <f t="shared" ref="F36:AK36" si="28">IF(F32&gt;0,+F35-(F35*F33/F32),0)</f>
        <v>0</v>
      </c>
      <c r="G36" s="46">
        <f t="shared" si="28"/>
        <v>0</v>
      </c>
      <c r="H36" s="46">
        <f t="shared" si="28"/>
        <v>0</v>
      </c>
      <c r="I36" s="46">
        <f t="shared" si="28"/>
        <v>0</v>
      </c>
      <c r="J36" s="46">
        <f t="shared" si="28"/>
        <v>0</v>
      </c>
      <c r="K36" s="46">
        <f t="shared" si="28"/>
        <v>0</v>
      </c>
      <c r="L36" s="46">
        <f t="shared" si="28"/>
        <v>0</v>
      </c>
      <c r="M36" s="46">
        <f t="shared" si="28"/>
        <v>0</v>
      </c>
      <c r="N36" s="46">
        <f t="shared" si="28"/>
        <v>0</v>
      </c>
      <c r="O36" s="46">
        <f t="shared" si="28"/>
        <v>26.710137144423086</v>
      </c>
      <c r="P36" s="46">
        <f t="shared" si="28"/>
        <v>30.200130613736277</v>
      </c>
      <c r="Q36" s="46">
        <f t="shared" si="28"/>
        <v>33.523933917844076</v>
      </c>
      <c r="R36" s="46">
        <f t="shared" si="28"/>
        <v>36.689460874137211</v>
      </c>
      <c r="S36" s="46">
        <f t="shared" si="28"/>
        <v>39.704248451559245</v>
      </c>
      <c r="T36" s="46">
        <f t="shared" si="28"/>
        <v>42.57547471577071</v>
      </c>
      <c r="U36" s="46">
        <f t="shared" si="28"/>
        <v>0</v>
      </c>
      <c r="V36" s="46">
        <f t="shared" si="28"/>
        <v>0</v>
      </c>
      <c r="W36" s="46">
        <f t="shared" si="28"/>
        <v>0</v>
      </c>
      <c r="X36" s="46">
        <f t="shared" si="28"/>
        <v>0</v>
      </c>
      <c r="Y36" s="46">
        <f t="shared" si="28"/>
        <v>0</v>
      </c>
      <c r="Z36" s="46">
        <f t="shared" si="28"/>
        <v>0</v>
      </c>
      <c r="AA36" s="46">
        <f t="shared" si="28"/>
        <v>0</v>
      </c>
      <c r="AB36" s="46">
        <f t="shared" si="28"/>
        <v>0</v>
      </c>
      <c r="AC36" s="46">
        <f t="shared" si="28"/>
        <v>0</v>
      </c>
      <c r="AD36" s="46">
        <f t="shared" si="28"/>
        <v>0</v>
      </c>
      <c r="AE36" s="46">
        <f t="shared" si="28"/>
        <v>0</v>
      </c>
      <c r="AF36" s="46">
        <f t="shared" si="28"/>
        <v>0</v>
      </c>
      <c r="AG36" s="46">
        <f t="shared" si="28"/>
        <v>0</v>
      </c>
      <c r="AH36" s="46">
        <f t="shared" si="28"/>
        <v>0</v>
      </c>
      <c r="AI36" s="46">
        <f t="shared" si="28"/>
        <v>0</v>
      </c>
      <c r="AJ36" s="46">
        <f t="shared" si="28"/>
        <v>0</v>
      </c>
      <c r="AK36" s="46">
        <f t="shared" si="28"/>
        <v>0</v>
      </c>
      <c r="AL36" s="46">
        <f t="shared" ref="AL36:AR36" si="29">IF(AL32&gt;0,+AL35-(AL35*AL33/AL32),0)</f>
        <v>0</v>
      </c>
      <c r="AM36" s="46">
        <f t="shared" si="29"/>
        <v>0</v>
      </c>
      <c r="AN36" s="46">
        <f t="shared" si="29"/>
        <v>0</v>
      </c>
      <c r="AO36" s="46">
        <f t="shared" si="29"/>
        <v>0</v>
      </c>
      <c r="AP36" s="46">
        <f t="shared" si="29"/>
        <v>0</v>
      </c>
      <c r="AQ36" s="46">
        <f t="shared" si="29"/>
        <v>0</v>
      </c>
      <c r="AR36" s="46">
        <f t="shared" si="29"/>
        <v>0</v>
      </c>
    </row>
    <row r="37" spans="1:44" x14ac:dyDescent="0.35">
      <c r="A37" s="99"/>
      <c r="C37" s="44"/>
      <c r="D37" s="45" t="s">
        <v>1</v>
      </c>
      <c r="E37" s="138"/>
      <c r="F37" s="138">
        <f>+E36*0.25</f>
        <v>0</v>
      </c>
      <c r="G37" s="46">
        <f t="shared" ref="G37" si="30">+F36*0.25</f>
        <v>0</v>
      </c>
      <c r="H37" s="46">
        <f t="shared" ref="H37" si="31">+G36*0.25</f>
        <v>0</v>
      </c>
      <c r="I37" s="46">
        <f t="shared" ref="I37" si="32">+H36*0.25</f>
        <v>0</v>
      </c>
      <c r="J37" s="46">
        <f t="shared" ref="J37" si="33">+I36*0.25</f>
        <v>0</v>
      </c>
      <c r="K37" s="46">
        <f t="shared" ref="K37" si="34">+J36*0.25</f>
        <v>0</v>
      </c>
      <c r="L37" s="46">
        <f t="shared" ref="L37" si="35">+K36*0.25</f>
        <v>0</v>
      </c>
      <c r="M37" s="46">
        <f t="shared" ref="M37" si="36">+L36*0.25</f>
        <v>0</v>
      </c>
      <c r="N37" s="46">
        <f t="shared" ref="N37" si="37">+M36*0.25</f>
        <v>0</v>
      </c>
      <c r="O37" s="46">
        <f t="shared" ref="O37" si="38">+N36*0.25</f>
        <v>0</v>
      </c>
      <c r="P37" s="46">
        <f t="shared" ref="P37" si="39">+O36*0.25</f>
        <v>6.6775342861057716</v>
      </c>
      <c r="Q37" s="46">
        <f t="shared" ref="Q37" si="40">+P36*0.25</f>
        <v>7.5500326534340694</v>
      </c>
      <c r="R37" s="46">
        <f t="shared" ref="R37" si="41">+Q36*0.25</f>
        <v>8.380983479461019</v>
      </c>
      <c r="S37" s="46">
        <f t="shared" ref="S37" si="42">+R36*0.25</f>
        <v>9.1723652185343028</v>
      </c>
      <c r="T37" s="46">
        <f t="shared" ref="T37" si="43">+S36*0.25</f>
        <v>9.9260621128898112</v>
      </c>
      <c r="U37" s="46">
        <f t="shared" ref="U37" si="44">+T36*0.25</f>
        <v>10.643868678942678</v>
      </c>
      <c r="V37" s="46">
        <f t="shared" ref="V37" si="45">+U36*0.25</f>
        <v>0</v>
      </c>
      <c r="W37" s="46">
        <f t="shared" ref="W37" si="46">+V36*0.25</f>
        <v>0</v>
      </c>
      <c r="X37" s="46">
        <f t="shared" ref="X37" si="47">+W36*0.25</f>
        <v>0</v>
      </c>
      <c r="Y37" s="46">
        <f t="shared" ref="Y37" si="48">+X36*0.25</f>
        <v>0</v>
      </c>
      <c r="Z37" s="46">
        <f t="shared" ref="Z37" si="49">+Y36*0.25</f>
        <v>0</v>
      </c>
      <c r="AA37" s="46">
        <f t="shared" ref="AA37" si="50">+Z36*0.25</f>
        <v>0</v>
      </c>
      <c r="AB37" s="46">
        <f t="shared" ref="AB37" si="51">+AA36*0.25</f>
        <v>0</v>
      </c>
      <c r="AC37" s="46">
        <f t="shared" ref="AC37" si="52">+AB36*0.25</f>
        <v>0</v>
      </c>
      <c r="AD37" s="46">
        <f t="shared" ref="AD37" si="53">+AC36*0.25</f>
        <v>0</v>
      </c>
      <c r="AE37" s="46">
        <f t="shared" ref="AE37" si="54">+AD36*0.25</f>
        <v>0</v>
      </c>
      <c r="AF37" s="46">
        <f t="shared" ref="AF37" si="55">+AE36*0.25</f>
        <v>0</v>
      </c>
      <c r="AG37" s="46">
        <f t="shared" ref="AG37" si="56">+AF36*0.25</f>
        <v>0</v>
      </c>
      <c r="AH37" s="46">
        <f t="shared" ref="AH37" si="57">+AG36*0.25</f>
        <v>0</v>
      </c>
      <c r="AI37" s="46">
        <f t="shared" ref="AI37" si="58">+AH36*0.25</f>
        <v>0</v>
      </c>
      <c r="AJ37" s="46">
        <f t="shared" ref="AJ37" si="59">+AI36*0.25</f>
        <v>0</v>
      </c>
      <c r="AK37" s="46">
        <f t="shared" ref="AK37:AR37" si="60">+AJ36*0.25</f>
        <v>0</v>
      </c>
      <c r="AL37" s="46">
        <f t="shared" si="60"/>
        <v>0</v>
      </c>
      <c r="AM37" s="46">
        <f t="shared" si="60"/>
        <v>0</v>
      </c>
      <c r="AN37" s="46">
        <f t="shared" si="60"/>
        <v>0</v>
      </c>
      <c r="AO37" s="46">
        <f t="shared" si="60"/>
        <v>0</v>
      </c>
      <c r="AP37" s="46">
        <f t="shared" si="60"/>
        <v>0</v>
      </c>
      <c r="AQ37" s="46">
        <f t="shared" si="60"/>
        <v>0</v>
      </c>
      <c r="AR37" s="46">
        <f t="shared" si="60"/>
        <v>0</v>
      </c>
    </row>
    <row r="38" spans="1:44" x14ac:dyDescent="0.35">
      <c r="A38" s="99"/>
      <c r="C38" s="55"/>
      <c r="D38" s="56" t="s">
        <v>27</v>
      </c>
      <c r="E38" s="143">
        <v>0.1</v>
      </c>
      <c r="F38" s="143">
        <f>+F46</f>
        <v>0.08</v>
      </c>
      <c r="G38" s="70">
        <f t="shared" ref="G38:AK38" si="61">+G46</f>
        <v>7.0000000000000007E-2</v>
      </c>
      <c r="H38" s="70">
        <f t="shared" si="61"/>
        <v>0.05</v>
      </c>
      <c r="I38" s="70">
        <f t="shared" si="61"/>
        <v>0.05</v>
      </c>
      <c r="J38" s="70">
        <f t="shared" si="61"/>
        <v>0.05</v>
      </c>
      <c r="K38" s="70">
        <f t="shared" si="61"/>
        <v>0.05</v>
      </c>
      <c r="L38" s="70">
        <f t="shared" si="61"/>
        <v>0.05</v>
      </c>
      <c r="M38" s="70">
        <f t="shared" si="61"/>
        <v>0.05</v>
      </c>
      <c r="N38" s="70">
        <f t="shared" si="61"/>
        <v>0.05</v>
      </c>
      <c r="O38" s="70">
        <f t="shared" si="61"/>
        <v>0.05</v>
      </c>
      <c r="P38" s="70">
        <f t="shared" si="61"/>
        <v>0.05</v>
      </c>
      <c r="Q38" s="70">
        <f t="shared" si="61"/>
        <v>0.05</v>
      </c>
      <c r="R38" s="70">
        <f t="shared" si="61"/>
        <v>0.05</v>
      </c>
      <c r="S38" s="70">
        <f t="shared" si="61"/>
        <v>0.05</v>
      </c>
      <c r="T38" s="70">
        <f t="shared" si="61"/>
        <v>0.05</v>
      </c>
      <c r="U38" s="70">
        <f t="shared" si="61"/>
        <v>0.05</v>
      </c>
      <c r="V38" s="70">
        <f t="shared" si="61"/>
        <v>0.05</v>
      </c>
      <c r="W38" s="70">
        <f t="shared" si="61"/>
        <v>0.04</v>
      </c>
      <c r="X38" s="70">
        <f t="shared" si="61"/>
        <v>0.04</v>
      </c>
      <c r="Y38" s="70">
        <f t="shared" si="61"/>
        <v>0.04</v>
      </c>
      <c r="Z38" s="70">
        <f t="shared" si="61"/>
        <v>0.04</v>
      </c>
      <c r="AA38" s="70">
        <f t="shared" si="61"/>
        <v>0.04</v>
      </c>
      <c r="AB38" s="70">
        <f t="shared" si="61"/>
        <v>0.04</v>
      </c>
      <c r="AC38" s="70">
        <f t="shared" si="61"/>
        <v>0.04</v>
      </c>
      <c r="AD38" s="70">
        <f t="shared" si="61"/>
        <v>0.04</v>
      </c>
      <c r="AE38" s="70">
        <f t="shared" si="61"/>
        <v>0.04</v>
      </c>
      <c r="AF38" s="70">
        <f t="shared" si="61"/>
        <v>0.04</v>
      </c>
      <c r="AG38" s="70">
        <f t="shared" si="61"/>
        <v>0.04</v>
      </c>
      <c r="AH38" s="70">
        <f t="shared" si="61"/>
        <v>0.04</v>
      </c>
      <c r="AI38" s="70">
        <f t="shared" si="61"/>
        <v>0.04</v>
      </c>
      <c r="AJ38" s="70">
        <f t="shared" si="61"/>
        <v>0.04</v>
      </c>
      <c r="AK38" s="70">
        <f t="shared" si="61"/>
        <v>0.04</v>
      </c>
      <c r="AL38" s="70">
        <f t="shared" ref="AL38:AR38" si="62">+AL46</f>
        <v>0.04</v>
      </c>
      <c r="AM38" s="70">
        <f t="shared" si="62"/>
        <v>0.04</v>
      </c>
      <c r="AN38" s="70">
        <f t="shared" si="62"/>
        <v>0.04</v>
      </c>
      <c r="AO38" s="70">
        <f t="shared" si="62"/>
        <v>0.04</v>
      </c>
      <c r="AP38" s="70">
        <f t="shared" si="62"/>
        <v>0.04</v>
      </c>
      <c r="AQ38" s="70">
        <f t="shared" si="62"/>
        <v>0.04</v>
      </c>
      <c r="AR38" s="70">
        <f t="shared" si="62"/>
        <v>0.04</v>
      </c>
    </row>
    <row r="39" spans="1:44" x14ac:dyDescent="0.35">
      <c r="A39" s="99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 x14ac:dyDescent="0.35">
      <c r="A40" s="99"/>
      <c r="C40" s="40" t="s">
        <v>99</v>
      </c>
      <c r="D40" s="41" t="s">
        <v>81</v>
      </c>
      <c r="E40" s="134">
        <v>391</v>
      </c>
      <c r="F40" s="134">
        <v>526</v>
      </c>
      <c r="G40" s="42">
        <f>+F40*(1+G46)-(G43*(1+G46))-G42</f>
        <v>607.82000000000005</v>
      </c>
      <c r="H40" s="42">
        <f t="shared" ref="H40:AR40" si="63">+G40*(1+H46)-(H43*(1+H46))-H42</f>
        <v>638.21100000000013</v>
      </c>
      <c r="I40" s="42">
        <f t="shared" si="63"/>
        <v>670.12155000000018</v>
      </c>
      <c r="J40" s="42">
        <f t="shared" si="63"/>
        <v>703.62762750000024</v>
      </c>
      <c r="K40" s="42">
        <f t="shared" si="63"/>
        <v>581.30900887500025</v>
      </c>
      <c r="L40" s="42">
        <f t="shared" si="63"/>
        <v>452.87445931875027</v>
      </c>
      <c r="M40" s="42">
        <f t="shared" si="63"/>
        <v>318.01818228468778</v>
      </c>
      <c r="N40" s="42">
        <f t="shared" si="63"/>
        <v>176.41909139892221</v>
      </c>
      <c r="O40" s="42">
        <f t="shared" si="63"/>
        <v>0</v>
      </c>
      <c r="P40" s="42">
        <f t="shared" si="63"/>
        <v>0</v>
      </c>
      <c r="Q40" s="42">
        <f t="shared" si="63"/>
        <v>0</v>
      </c>
      <c r="R40" s="42">
        <f t="shared" si="63"/>
        <v>0</v>
      </c>
      <c r="S40" s="42">
        <f t="shared" si="63"/>
        <v>0</v>
      </c>
      <c r="T40" s="42">
        <f t="shared" si="63"/>
        <v>0</v>
      </c>
      <c r="U40" s="42">
        <f t="shared" si="63"/>
        <v>0</v>
      </c>
      <c r="V40" s="42">
        <f t="shared" si="63"/>
        <v>0</v>
      </c>
      <c r="W40" s="42">
        <f t="shared" si="63"/>
        <v>0</v>
      </c>
      <c r="X40" s="42">
        <f t="shared" si="63"/>
        <v>0</v>
      </c>
      <c r="Y40" s="42">
        <f t="shared" si="63"/>
        <v>0</v>
      </c>
      <c r="Z40" s="42">
        <f t="shared" si="63"/>
        <v>0</v>
      </c>
      <c r="AA40" s="42">
        <f t="shared" si="63"/>
        <v>0</v>
      </c>
      <c r="AB40" s="42">
        <f t="shared" si="63"/>
        <v>0</v>
      </c>
      <c r="AC40" s="42">
        <f t="shared" si="63"/>
        <v>0</v>
      </c>
      <c r="AD40" s="42">
        <f t="shared" si="63"/>
        <v>0</v>
      </c>
      <c r="AE40" s="42">
        <f t="shared" si="63"/>
        <v>0</v>
      </c>
      <c r="AF40" s="42">
        <f t="shared" si="63"/>
        <v>0</v>
      </c>
      <c r="AG40" s="42">
        <f t="shared" si="63"/>
        <v>0</v>
      </c>
      <c r="AH40" s="42">
        <f t="shared" si="63"/>
        <v>0</v>
      </c>
      <c r="AI40" s="42">
        <f t="shared" si="63"/>
        <v>0</v>
      </c>
      <c r="AJ40" s="42">
        <f t="shared" si="63"/>
        <v>0</v>
      </c>
      <c r="AK40" s="42">
        <f t="shared" si="63"/>
        <v>0</v>
      </c>
      <c r="AL40" s="42">
        <f t="shared" si="63"/>
        <v>0</v>
      </c>
      <c r="AM40" s="42">
        <f t="shared" si="63"/>
        <v>0</v>
      </c>
      <c r="AN40" s="42">
        <f t="shared" si="63"/>
        <v>0</v>
      </c>
      <c r="AO40" s="42">
        <f t="shared" si="63"/>
        <v>0</v>
      </c>
      <c r="AP40" s="42">
        <f t="shared" si="63"/>
        <v>0</v>
      </c>
      <c r="AQ40" s="42">
        <f t="shared" si="63"/>
        <v>0</v>
      </c>
      <c r="AR40" s="42">
        <f t="shared" si="63"/>
        <v>0</v>
      </c>
    </row>
    <row r="41" spans="1:44" x14ac:dyDescent="0.35">
      <c r="A41" s="99"/>
      <c r="C41" s="69"/>
      <c r="D41" s="45" t="s">
        <v>82</v>
      </c>
      <c r="E41" s="138">
        <v>349</v>
      </c>
      <c r="F41" s="138">
        <f t="shared" ref="F41:AR41" si="64">IF(E40&gt;0,+E41-F42-(F43*E41/E40),0)</f>
        <v>455</v>
      </c>
      <c r="G41" s="46">
        <f t="shared" si="64"/>
        <v>500</v>
      </c>
      <c r="H41" s="46">
        <f t="shared" si="64"/>
        <v>500</v>
      </c>
      <c r="I41" s="46">
        <f t="shared" si="64"/>
        <v>500</v>
      </c>
      <c r="J41" s="46">
        <f t="shared" si="64"/>
        <v>500</v>
      </c>
      <c r="K41" s="46">
        <f t="shared" si="64"/>
        <v>393.40952931811938</v>
      </c>
      <c r="L41" s="46">
        <f t="shared" si="64"/>
        <v>291.89479533537593</v>
      </c>
      <c r="M41" s="46">
        <f t="shared" si="64"/>
        <v>195.21409630419168</v>
      </c>
      <c r="N41" s="46">
        <f t="shared" si="64"/>
        <v>103.13724008401621</v>
      </c>
      <c r="O41" s="46">
        <f t="shared" si="64"/>
        <v>-1.4210854715202004E-14</v>
      </c>
      <c r="P41" s="46">
        <f t="shared" si="64"/>
        <v>0</v>
      </c>
      <c r="Q41" s="46">
        <f t="shared" si="64"/>
        <v>0</v>
      </c>
      <c r="R41" s="46">
        <f t="shared" si="64"/>
        <v>0</v>
      </c>
      <c r="S41" s="46">
        <f t="shared" si="64"/>
        <v>0</v>
      </c>
      <c r="T41" s="46">
        <f t="shared" si="64"/>
        <v>0</v>
      </c>
      <c r="U41" s="46">
        <f t="shared" si="64"/>
        <v>0</v>
      </c>
      <c r="V41" s="46">
        <f t="shared" si="64"/>
        <v>0</v>
      </c>
      <c r="W41" s="46">
        <f t="shared" si="64"/>
        <v>0</v>
      </c>
      <c r="X41" s="46">
        <f t="shared" si="64"/>
        <v>0</v>
      </c>
      <c r="Y41" s="46">
        <f t="shared" si="64"/>
        <v>0</v>
      </c>
      <c r="Z41" s="46">
        <f t="shared" si="64"/>
        <v>0</v>
      </c>
      <c r="AA41" s="46">
        <f t="shared" si="64"/>
        <v>0</v>
      </c>
      <c r="AB41" s="46">
        <f t="shared" si="64"/>
        <v>0</v>
      </c>
      <c r="AC41" s="46">
        <f t="shared" si="64"/>
        <v>0</v>
      </c>
      <c r="AD41" s="46">
        <f t="shared" si="64"/>
        <v>0</v>
      </c>
      <c r="AE41" s="46">
        <f t="shared" si="64"/>
        <v>0</v>
      </c>
      <c r="AF41" s="46">
        <f t="shared" si="64"/>
        <v>0</v>
      </c>
      <c r="AG41" s="46">
        <f t="shared" si="64"/>
        <v>0</v>
      </c>
      <c r="AH41" s="46">
        <f t="shared" si="64"/>
        <v>0</v>
      </c>
      <c r="AI41" s="46">
        <f t="shared" si="64"/>
        <v>0</v>
      </c>
      <c r="AJ41" s="46">
        <f t="shared" si="64"/>
        <v>0</v>
      </c>
      <c r="AK41" s="46">
        <f t="shared" si="64"/>
        <v>0</v>
      </c>
      <c r="AL41" s="46">
        <f t="shared" si="64"/>
        <v>0</v>
      </c>
      <c r="AM41" s="46">
        <f t="shared" si="64"/>
        <v>0</v>
      </c>
      <c r="AN41" s="46">
        <f t="shared" si="64"/>
        <v>0</v>
      </c>
      <c r="AO41" s="46">
        <f t="shared" si="64"/>
        <v>0</v>
      </c>
      <c r="AP41" s="46">
        <f t="shared" si="64"/>
        <v>0</v>
      </c>
      <c r="AQ41" s="46">
        <f t="shared" si="64"/>
        <v>0</v>
      </c>
      <c r="AR41" s="2">
        <f t="shared" si="64"/>
        <v>0</v>
      </c>
    </row>
    <row r="42" spans="1:44" s="2" customFormat="1" x14ac:dyDescent="0.35">
      <c r="A42" s="100"/>
      <c r="C42" s="76" t="s">
        <v>84</v>
      </c>
      <c r="D42" s="49" t="s">
        <v>69</v>
      </c>
      <c r="E42" s="138"/>
      <c r="F42" s="141">
        <f>-62-44</f>
        <v>-106</v>
      </c>
      <c r="G42" s="84">
        <v>-45</v>
      </c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8"/>
    </row>
    <row r="43" spans="1:44" s="2" customFormat="1" x14ac:dyDescent="0.35">
      <c r="A43" s="100"/>
      <c r="C43" s="48"/>
      <c r="D43" s="49" t="s">
        <v>59</v>
      </c>
      <c r="E43" s="138"/>
      <c r="F43" s="141"/>
      <c r="G43" s="84"/>
      <c r="H43" s="84"/>
      <c r="I43" s="84"/>
      <c r="J43" s="84">
        <v>0</v>
      </c>
      <c r="K43" s="84">
        <v>150</v>
      </c>
      <c r="L43" s="84">
        <v>150</v>
      </c>
      <c r="M43" s="84">
        <v>150</v>
      </c>
      <c r="N43" s="84">
        <v>150</v>
      </c>
      <c r="O43" s="84">
        <f>+N40</f>
        <v>176.41909139892221</v>
      </c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</row>
    <row r="44" spans="1:44" x14ac:dyDescent="0.35">
      <c r="A44" s="99"/>
      <c r="C44" s="44"/>
      <c r="D44" s="45" t="s">
        <v>83</v>
      </c>
      <c r="E44" s="138"/>
      <c r="F44" s="138">
        <f t="shared" ref="F44:AK44" si="65">IF(F40&gt;0,+F43-(F43*F41/F40),0)</f>
        <v>0</v>
      </c>
      <c r="G44" s="46">
        <f t="shared" si="65"/>
        <v>0</v>
      </c>
      <c r="H44" s="46">
        <f t="shared" si="65"/>
        <v>0</v>
      </c>
      <c r="I44" s="46">
        <f t="shared" si="65"/>
        <v>0</v>
      </c>
      <c r="J44" s="46">
        <f t="shared" si="65"/>
        <v>0</v>
      </c>
      <c r="K44" s="46">
        <f t="shared" si="65"/>
        <v>48.485266017256549</v>
      </c>
      <c r="L44" s="46">
        <f t="shared" si="65"/>
        <v>53.319300968815753</v>
      </c>
      <c r="M44" s="46">
        <f t="shared" si="65"/>
        <v>57.923143779824528</v>
      </c>
      <c r="N44" s="46">
        <f t="shared" si="65"/>
        <v>62.307755980785274</v>
      </c>
      <c r="O44" s="46">
        <f t="shared" si="65"/>
        <v>0</v>
      </c>
      <c r="P44" s="46">
        <f t="shared" si="65"/>
        <v>0</v>
      </c>
      <c r="Q44" s="46">
        <f t="shared" si="65"/>
        <v>0</v>
      </c>
      <c r="R44" s="46">
        <f t="shared" si="65"/>
        <v>0</v>
      </c>
      <c r="S44" s="46">
        <f t="shared" si="65"/>
        <v>0</v>
      </c>
      <c r="T44" s="46">
        <f t="shared" si="65"/>
        <v>0</v>
      </c>
      <c r="U44" s="46">
        <f t="shared" si="65"/>
        <v>0</v>
      </c>
      <c r="V44" s="46">
        <f t="shared" si="65"/>
        <v>0</v>
      </c>
      <c r="W44" s="46">
        <f t="shared" si="65"/>
        <v>0</v>
      </c>
      <c r="X44" s="46">
        <f t="shared" si="65"/>
        <v>0</v>
      </c>
      <c r="Y44" s="46">
        <f t="shared" si="65"/>
        <v>0</v>
      </c>
      <c r="Z44" s="46">
        <f t="shared" si="65"/>
        <v>0</v>
      </c>
      <c r="AA44" s="46">
        <f t="shared" si="65"/>
        <v>0</v>
      </c>
      <c r="AB44" s="46">
        <f t="shared" si="65"/>
        <v>0</v>
      </c>
      <c r="AC44" s="46">
        <f t="shared" si="65"/>
        <v>0</v>
      </c>
      <c r="AD44" s="46">
        <f t="shared" si="65"/>
        <v>0</v>
      </c>
      <c r="AE44" s="46">
        <f t="shared" si="65"/>
        <v>0</v>
      </c>
      <c r="AF44" s="46">
        <f t="shared" si="65"/>
        <v>0</v>
      </c>
      <c r="AG44" s="46">
        <f t="shared" si="65"/>
        <v>0</v>
      </c>
      <c r="AH44" s="46">
        <f t="shared" si="65"/>
        <v>0</v>
      </c>
      <c r="AI44" s="46">
        <f t="shared" si="65"/>
        <v>0</v>
      </c>
      <c r="AJ44" s="46">
        <f t="shared" si="65"/>
        <v>0</v>
      </c>
      <c r="AK44" s="46">
        <f t="shared" si="65"/>
        <v>0</v>
      </c>
      <c r="AL44" s="46">
        <f t="shared" ref="AL44:AR44" si="66">IF(AL40&gt;0,+AL43-(AL43*AL41/AL40),0)</f>
        <v>0</v>
      </c>
      <c r="AM44" s="46">
        <f t="shared" si="66"/>
        <v>0</v>
      </c>
      <c r="AN44" s="46">
        <f t="shared" si="66"/>
        <v>0</v>
      </c>
      <c r="AO44" s="46">
        <f t="shared" si="66"/>
        <v>0</v>
      </c>
      <c r="AP44" s="46">
        <f t="shared" si="66"/>
        <v>0</v>
      </c>
      <c r="AQ44" s="46">
        <f t="shared" si="66"/>
        <v>0</v>
      </c>
      <c r="AR44" s="46">
        <f t="shared" si="66"/>
        <v>0</v>
      </c>
    </row>
    <row r="45" spans="1:44" x14ac:dyDescent="0.35">
      <c r="A45" s="99"/>
      <c r="C45" s="44"/>
      <c r="D45" s="45" t="s">
        <v>1</v>
      </c>
      <c r="E45" s="138"/>
      <c r="F45" s="138">
        <f>+E44*0.25</f>
        <v>0</v>
      </c>
      <c r="G45" s="46">
        <f t="shared" ref="G45:AR45" si="67">+F44*0.25</f>
        <v>0</v>
      </c>
      <c r="H45" s="46">
        <f t="shared" si="67"/>
        <v>0</v>
      </c>
      <c r="I45" s="46">
        <f t="shared" si="67"/>
        <v>0</v>
      </c>
      <c r="J45" s="46">
        <f t="shared" si="67"/>
        <v>0</v>
      </c>
      <c r="K45" s="46">
        <f t="shared" si="67"/>
        <v>0</v>
      </c>
      <c r="L45" s="46">
        <f t="shared" si="67"/>
        <v>12.121316504314137</v>
      </c>
      <c r="M45" s="46">
        <f t="shared" si="67"/>
        <v>13.329825242203938</v>
      </c>
      <c r="N45" s="46">
        <f t="shared" si="67"/>
        <v>14.480785944956132</v>
      </c>
      <c r="O45" s="46">
        <f t="shared" si="67"/>
        <v>15.576938995196318</v>
      </c>
      <c r="P45" s="46">
        <f t="shared" si="67"/>
        <v>0</v>
      </c>
      <c r="Q45" s="46">
        <f t="shared" si="67"/>
        <v>0</v>
      </c>
      <c r="R45" s="46">
        <f t="shared" si="67"/>
        <v>0</v>
      </c>
      <c r="S45" s="46">
        <f t="shared" si="67"/>
        <v>0</v>
      </c>
      <c r="T45" s="46">
        <f t="shared" si="67"/>
        <v>0</v>
      </c>
      <c r="U45" s="46">
        <f t="shared" si="67"/>
        <v>0</v>
      </c>
      <c r="V45" s="46">
        <f t="shared" si="67"/>
        <v>0</v>
      </c>
      <c r="W45" s="46">
        <f t="shared" si="67"/>
        <v>0</v>
      </c>
      <c r="X45" s="46">
        <f t="shared" si="67"/>
        <v>0</v>
      </c>
      <c r="Y45" s="46">
        <f t="shared" si="67"/>
        <v>0</v>
      </c>
      <c r="Z45" s="46">
        <f t="shared" si="67"/>
        <v>0</v>
      </c>
      <c r="AA45" s="46">
        <f t="shared" si="67"/>
        <v>0</v>
      </c>
      <c r="AB45" s="46">
        <f t="shared" si="67"/>
        <v>0</v>
      </c>
      <c r="AC45" s="46">
        <f t="shared" si="67"/>
        <v>0</v>
      </c>
      <c r="AD45" s="46">
        <f t="shared" si="67"/>
        <v>0</v>
      </c>
      <c r="AE45" s="46">
        <f t="shared" si="67"/>
        <v>0</v>
      </c>
      <c r="AF45" s="46">
        <f t="shared" si="67"/>
        <v>0</v>
      </c>
      <c r="AG45" s="46">
        <f t="shared" si="67"/>
        <v>0</v>
      </c>
      <c r="AH45" s="46">
        <f t="shared" si="67"/>
        <v>0</v>
      </c>
      <c r="AI45" s="46">
        <f t="shared" si="67"/>
        <v>0</v>
      </c>
      <c r="AJ45" s="46">
        <f t="shared" si="67"/>
        <v>0</v>
      </c>
      <c r="AK45" s="46">
        <f t="shared" si="67"/>
        <v>0</v>
      </c>
      <c r="AL45" s="46">
        <f t="shared" si="67"/>
        <v>0</v>
      </c>
      <c r="AM45" s="46">
        <f t="shared" si="67"/>
        <v>0</v>
      </c>
      <c r="AN45" s="46">
        <f t="shared" si="67"/>
        <v>0</v>
      </c>
      <c r="AO45" s="46">
        <f t="shared" si="67"/>
        <v>0</v>
      </c>
      <c r="AP45" s="46">
        <f t="shared" si="67"/>
        <v>0</v>
      </c>
      <c r="AQ45" s="46">
        <f t="shared" si="67"/>
        <v>0</v>
      </c>
      <c r="AR45" s="46">
        <f t="shared" si="67"/>
        <v>0</v>
      </c>
    </row>
    <row r="46" spans="1:44" x14ac:dyDescent="0.35">
      <c r="A46" s="99"/>
      <c r="C46" s="55"/>
      <c r="D46" s="56" t="s">
        <v>27</v>
      </c>
      <c r="E46" s="143">
        <v>0.14000000000000001</v>
      </c>
      <c r="F46" s="143">
        <f>+F6*2</f>
        <v>0.08</v>
      </c>
      <c r="G46" s="70">
        <f t="shared" ref="G46:AK46" si="68">+G6*2</f>
        <v>7.0000000000000007E-2</v>
      </c>
      <c r="H46" s="70">
        <f t="shared" si="68"/>
        <v>0.05</v>
      </c>
      <c r="I46" s="70">
        <v>0.05</v>
      </c>
      <c r="J46" s="70">
        <v>0.05</v>
      </c>
      <c r="K46" s="70">
        <v>0.05</v>
      </c>
      <c r="L46" s="70">
        <v>0.05</v>
      </c>
      <c r="M46" s="70">
        <v>0.05</v>
      </c>
      <c r="N46" s="70">
        <v>0.05</v>
      </c>
      <c r="O46" s="70">
        <v>0.05</v>
      </c>
      <c r="P46" s="70">
        <v>0.05</v>
      </c>
      <c r="Q46" s="70">
        <v>0.05</v>
      </c>
      <c r="R46" s="70">
        <v>0.05</v>
      </c>
      <c r="S46" s="70">
        <v>0.05</v>
      </c>
      <c r="T46" s="70">
        <v>0.05</v>
      </c>
      <c r="U46" s="70">
        <v>0.05</v>
      </c>
      <c r="V46" s="70">
        <v>0.05</v>
      </c>
      <c r="W46" s="70">
        <f t="shared" si="68"/>
        <v>0.04</v>
      </c>
      <c r="X46" s="70">
        <f t="shared" si="68"/>
        <v>0.04</v>
      </c>
      <c r="Y46" s="70">
        <f t="shared" si="68"/>
        <v>0.04</v>
      </c>
      <c r="Z46" s="70">
        <f t="shared" si="68"/>
        <v>0.04</v>
      </c>
      <c r="AA46" s="70">
        <f t="shared" si="68"/>
        <v>0.04</v>
      </c>
      <c r="AB46" s="70">
        <f t="shared" si="68"/>
        <v>0.04</v>
      </c>
      <c r="AC46" s="70">
        <f t="shared" si="68"/>
        <v>0.04</v>
      </c>
      <c r="AD46" s="70">
        <f t="shared" si="68"/>
        <v>0.04</v>
      </c>
      <c r="AE46" s="70">
        <f t="shared" si="68"/>
        <v>0.04</v>
      </c>
      <c r="AF46" s="70">
        <f t="shared" si="68"/>
        <v>0.04</v>
      </c>
      <c r="AG46" s="70">
        <f t="shared" si="68"/>
        <v>0.04</v>
      </c>
      <c r="AH46" s="70">
        <f t="shared" si="68"/>
        <v>0.04</v>
      </c>
      <c r="AI46" s="70">
        <f t="shared" si="68"/>
        <v>0.04</v>
      </c>
      <c r="AJ46" s="70">
        <f t="shared" si="68"/>
        <v>0.04</v>
      </c>
      <c r="AK46" s="70">
        <f t="shared" si="68"/>
        <v>0.04</v>
      </c>
      <c r="AL46" s="70">
        <f t="shared" ref="AL46:AR46" si="69">+AL6*2</f>
        <v>0.04</v>
      </c>
      <c r="AM46" s="70">
        <f t="shared" si="69"/>
        <v>0.04</v>
      </c>
      <c r="AN46" s="70">
        <f t="shared" si="69"/>
        <v>0.04</v>
      </c>
      <c r="AO46" s="70">
        <f t="shared" si="69"/>
        <v>0.04</v>
      </c>
      <c r="AP46" s="70">
        <f t="shared" si="69"/>
        <v>0.04</v>
      </c>
      <c r="AQ46" s="70">
        <f t="shared" si="69"/>
        <v>0.04</v>
      </c>
      <c r="AR46" s="70">
        <f t="shared" si="69"/>
        <v>0.04</v>
      </c>
    </row>
    <row r="47" spans="1:44" x14ac:dyDescent="0.35">
      <c r="A47" s="99"/>
      <c r="D47" s="25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</row>
    <row r="48" spans="1:44" x14ac:dyDescent="0.35">
      <c r="A48" s="99"/>
      <c r="C48" s="40" t="s">
        <v>109</v>
      </c>
      <c r="D48" s="59"/>
      <c r="E48" s="134"/>
      <c r="F48" s="144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73"/>
    </row>
    <row r="49" spans="1:44" x14ac:dyDescent="0.35">
      <c r="A49" s="99"/>
      <c r="C49" s="44" t="s">
        <v>85</v>
      </c>
      <c r="D49" s="25" t="s">
        <v>81</v>
      </c>
      <c r="E49" s="138">
        <v>0</v>
      </c>
      <c r="F49" s="145">
        <f t="shared" ref="F49" si="70">+E49*(1+F56)-(F52*(1+F56))-F51</f>
        <v>0</v>
      </c>
      <c r="G49" s="46">
        <f t="shared" ref="G49:M49" si="71">+F49*(1+G56)-(G52*(1+G56))-G51</f>
        <v>50</v>
      </c>
      <c r="H49" s="46">
        <f t="shared" si="71"/>
        <v>51.249999999999993</v>
      </c>
      <c r="I49" s="46">
        <f t="shared" si="71"/>
        <v>52.403124999999989</v>
      </c>
      <c r="J49" s="46">
        <f t="shared" si="71"/>
        <v>53.451187499999989</v>
      </c>
      <c r="K49" s="46">
        <f t="shared" si="71"/>
        <v>54.520211249999988</v>
      </c>
      <c r="L49" s="46">
        <f t="shared" si="71"/>
        <v>55.610615474999989</v>
      </c>
      <c r="M49" s="46">
        <f t="shared" si="71"/>
        <v>0</v>
      </c>
      <c r="N49" s="12">
        <f t="shared" ref="N49:AR49" si="72">+M49*(1+M56)-(N52*(1+M55))-N51</f>
        <v>0</v>
      </c>
      <c r="O49" s="12">
        <f t="shared" si="72"/>
        <v>0</v>
      </c>
      <c r="P49" s="12">
        <f t="shared" si="72"/>
        <v>0</v>
      </c>
      <c r="Q49" s="12">
        <f t="shared" si="72"/>
        <v>0</v>
      </c>
      <c r="R49" s="12">
        <f t="shared" si="72"/>
        <v>0</v>
      </c>
      <c r="S49" s="12">
        <f t="shared" si="72"/>
        <v>0</v>
      </c>
      <c r="T49" s="12">
        <f t="shared" si="72"/>
        <v>0</v>
      </c>
      <c r="U49" s="12">
        <f t="shared" si="72"/>
        <v>0</v>
      </c>
      <c r="V49" s="12">
        <f t="shared" si="72"/>
        <v>0</v>
      </c>
      <c r="W49" s="12">
        <f t="shared" si="72"/>
        <v>0</v>
      </c>
      <c r="X49" s="12">
        <f t="shared" si="72"/>
        <v>0</v>
      </c>
      <c r="Y49" s="12">
        <f t="shared" si="72"/>
        <v>0</v>
      </c>
      <c r="Z49" s="12">
        <f t="shared" si="72"/>
        <v>0</v>
      </c>
      <c r="AA49" s="12">
        <f t="shared" si="72"/>
        <v>0</v>
      </c>
      <c r="AB49" s="12">
        <f t="shared" si="72"/>
        <v>0</v>
      </c>
      <c r="AC49" s="12">
        <f t="shared" si="72"/>
        <v>0</v>
      </c>
      <c r="AD49" s="12">
        <f t="shared" si="72"/>
        <v>0</v>
      </c>
      <c r="AE49" s="12">
        <f t="shared" si="72"/>
        <v>0</v>
      </c>
      <c r="AF49" s="12">
        <f t="shared" si="72"/>
        <v>0</v>
      </c>
      <c r="AG49" s="12">
        <f t="shared" si="72"/>
        <v>0</v>
      </c>
      <c r="AH49" s="12">
        <f t="shared" si="72"/>
        <v>0</v>
      </c>
      <c r="AI49" s="12">
        <f t="shared" si="72"/>
        <v>0</v>
      </c>
      <c r="AJ49" s="12">
        <f t="shared" si="72"/>
        <v>0</v>
      </c>
      <c r="AK49" s="12">
        <f t="shared" si="72"/>
        <v>0</v>
      </c>
      <c r="AL49" s="12">
        <f t="shared" si="72"/>
        <v>0</v>
      </c>
      <c r="AM49" s="12">
        <f t="shared" si="72"/>
        <v>0</v>
      </c>
      <c r="AN49" s="12">
        <f t="shared" si="72"/>
        <v>0</v>
      </c>
      <c r="AO49" s="12">
        <f t="shared" si="72"/>
        <v>0</v>
      </c>
      <c r="AP49" s="12">
        <f t="shared" si="72"/>
        <v>0</v>
      </c>
      <c r="AQ49" s="12">
        <f t="shared" si="72"/>
        <v>0</v>
      </c>
      <c r="AR49" s="74">
        <f t="shared" si="72"/>
        <v>0</v>
      </c>
    </row>
    <row r="50" spans="1:44" x14ac:dyDescent="0.35">
      <c r="A50" s="99"/>
      <c r="C50" s="54"/>
      <c r="D50" s="25" t="s">
        <v>82</v>
      </c>
      <c r="E50" s="138">
        <v>0</v>
      </c>
      <c r="F50" s="138">
        <f>+F49</f>
        <v>0</v>
      </c>
      <c r="G50" s="65">
        <f>+G49</f>
        <v>50</v>
      </c>
      <c r="H50" s="65">
        <f t="shared" ref="H50" si="73">IF(G49&gt;0,+G50-H51-(H52*G50/G49),0)</f>
        <v>50</v>
      </c>
      <c r="I50" s="65">
        <f t="shared" ref="I50" si="74">IF(H49&gt;0,+H50-I51-(I52*H50/H49),0)</f>
        <v>50</v>
      </c>
      <c r="J50" s="65">
        <f t="shared" ref="J50" si="75">IF(I49&gt;0,+I50-J51-(J52*I50/I49),0)</f>
        <v>50</v>
      </c>
      <c r="K50" s="65">
        <f t="shared" ref="K50" si="76">IF(J49&gt;0,+J50-K51-(K52*J50/J49),0)</f>
        <v>50</v>
      </c>
      <c r="L50" s="65">
        <f t="shared" ref="L50" si="77">IF(K49&gt;0,+K50-L51-(L52*K50/K49),0)</f>
        <v>50</v>
      </c>
      <c r="M50" s="65">
        <f t="shared" ref="M50" si="78">IF(L49&gt;0,+L50-M51-(M52*L50/L49),0)</f>
        <v>0</v>
      </c>
      <c r="N50" s="65">
        <f t="shared" ref="N50" si="79">IF(M49&gt;0,+M50-N51-(N52*M50/M49),0)</f>
        <v>0</v>
      </c>
      <c r="O50" s="65">
        <f t="shared" ref="O50" si="80">IF(N49&gt;0,+N50-O51-(O52*N50/N49),0)</f>
        <v>0</v>
      </c>
      <c r="P50" s="65">
        <f t="shared" ref="P50" si="81">IF(O49&gt;0,+O50-P51-(P52*O50/O49),0)</f>
        <v>0</v>
      </c>
      <c r="Q50" s="65">
        <f t="shared" ref="Q50" si="82">IF(P49&gt;0,+P50-Q51-(Q52*P50/P49),0)</f>
        <v>0</v>
      </c>
      <c r="R50" s="65">
        <f t="shared" ref="R50" si="83">IF(Q49&gt;0,+Q50-R51-(R52*Q50/Q49),0)</f>
        <v>0</v>
      </c>
      <c r="S50" s="65">
        <f t="shared" ref="S50" si="84">IF(R49&gt;0,+R50-S51-(S52*R50/R49),0)</f>
        <v>0</v>
      </c>
      <c r="T50" s="65">
        <f t="shared" ref="T50" si="85">IF(S49&gt;0,+S50-T51-(T52*S50/S49),0)</f>
        <v>0</v>
      </c>
      <c r="U50" s="65">
        <f t="shared" ref="U50" si="86">IF(T49&gt;0,+T50-U51-(U52*T50/T49),0)</f>
        <v>0</v>
      </c>
      <c r="V50" s="65">
        <f t="shared" ref="V50" si="87">IF(U49&gt;0,+U50-V51-(V52*U50/U49),0)</f>
        <v>0</v>
      </c>
      <c r="W50" s="65">
        <f t="shared" ref="W50" si="88">IF(V49&gt;0,+V50-W51-(W52*V50/V49),0)</f>
        <v>0</v>
      </c>
      <c r="X50" s="65">
        <f t="shared" ref="X50" si="89">IF(W49&gt;0,+W50-X51-(X52*W50/W49),0)</f>
        <v>0</v>
      </c>
      <c r="Y50" s="65">
        <f t="shared" ref="Y50" si="90">IF(X49&gt;0,+X50-Y51-(Y52*X50/X49),0)</f>
        <v>0</v>
      </c>
      <c r="Z50" s="65">
        <f t="shared" ref="Z50" si="91">IF(Y49&gt;0,+Y50-Z51-(Z52*Y50/Y49),0)</f>
        <v>0</v>
      </c>
      <c r="AA50" s="65">
        <f t="shared" ref="AA50" si="92">IF(Z49&gt;0,+Z50-AA51-(AA52*Z50/Z49),0)</f>
        <v>0</v>
      </c>
      <c r="AB50" s="65">
        <f t="shared" ref="AB50" si="93">IF(AA49&gt;0,+AA50-AB51-(AB52*AA50/AA49),0)</f>
        <v>0</v>
      </c>
      <c r="AC50" s="65">
        <f t="shared" ref="AC50" si="94">IF(AB49&gt;0,+AB50-AC51-(AC52*AB50/AB49),0)</f>
        <v>0</v>
      </c>
      <c r="AD50" s="65">
        <f t="shared" ref="AD50" si="95">IF(AC49&gt;0,+AC50-AD51-(AD52*AC50/AC49),0)</f>
        <v>0</v>
      </c>
      <c r="AE50" s="65">
        <f t="shared" ref="AE50" si="96">IF(AD49&gt;0,+AD50-AE51-(AE52*AD50/AD49),0)</f>
        <v>0</v>
      </c>
      <c r="AF50" s="65">
        <f t="shared" ref="AF50" si="97">IF(AE49&gt;0,+AE50-AF51-(AF52*AE50/AE49),0)</f>
        <v>0</v>
      </c>
      <c r="AG50" s="65">
        <f t="shared" ref="AG50" si="98">IF(AF49&gt;0,+AF50-AG51-(AG52*AF50/AF49),0)</f>
        <v>0</v>
      </c>
      <c r="AH50" s="65">
        <f t="shared" ref="AH50" si="99">IF(AG49&gt;0,+AG50-AH51-(AH52*AG50/AG49),0)</f>
        <v>0</v>
      </c>
      <c r="AI50" s="65">
        <f t="shared" ref="AI50" si="100">IF(AH49&gt;0,+AH50-AI51-(AI52*AH50/AH49),0)</f>
        <v>0</v>
      </c>
      <c r="AJ50" s="65">
        <f t="shared" ref="AJ50" si="101">IF(AI49&gt;0,+AI50-AJ51-(AJ52*AI50/AI49),0)</f>
        <v>0</v>
      </c>
      <c r="AK50" s="65">
        <f t="shared" ref="AK50:AR50" si="102">IF(AJ49&gt;0,+AJ50-AK51-(AK52*AJ50/AJ49),0)</f>
        <v>0</v>
      </c>
      <c r="AL50" s="65">
        <f t="shared" si="102"/>
        <v>0</v>
      </c>
      <c r="AM50" s="65">
        <f t="shared" si="102"/>
        <v>0</v>
      </c>
      <c r="AN50" s="65">
        <f t="shared" si="102"/>
        <v>0</v>
      </c>
      <c r="AO50" s="65">
        <f t="shared" si="102"/>
        <v>0</v>
      </c>
      <c r="AP50" s="65">
        <f t="shared" si="102"/>
        <v>0</v>
      </c>
      <c r="AQ50" s="65">
        <f t="shared" si="102"/>
        <v>0</v>
      </c>
      <c r="AR50" s="65">
        <f t="shared" si="102"/>
        <v>0</v>
      </c>
    </row>
    <row r="51" spans="1:44" s="2" customFormat="1" x14ac:dyDescent="0.35">
      <c r="A51" s="100"/>
      <c r="C51" s="155"/>
      <c r="D51" s="25" t="s">
        <v>69</v>
      </c>
      <c r="E51" s="138"/>
      <c r="F51" s="141">
        <v>0</v>
      </c>
      <c r="G51" s="84">
        <v>-50</v>
      </c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8"/>
    </row>
    <row r="52" spans="1:44" s="2" customFormat="1" x14ac:dyDescent="0.35">
      <c r="A52" s="100"/>
      <c r="C52" s="155"/>
      <c r="D52" s="156" t="s">
        <v>86</v>
      </c>
      <c r="E52" s="138"/>
      <c r="F52" s="141"/>
      <c r="G52" s="84">
        <f>+F49*(1+F56)*0.2*0</f>
        <v>0</v>
      </c>
      <c r="H52" s="84"/>
      <c r="I52" s="84"/>
      <c r="J52" s="84"/>
      <c r="K52" s="84"/>
      <c r="L52" s="84">
        <v>0</v>
      </c>
      <c r="M52" s="84">
        <f>+L49</f>
        <v>55.610615474999989</v>
      </c>
      <c r="N52" s="84">
        <v>0</v>
      </c>
      <c r="O52" s="84"/>
      <c r="P52" s="84"/>
      <c r="Q52" s="84"/>
      <c r="R52" s="84"/>
      <c r="S52" s="84">
        <v>0</v>
      </c>
      <c r="T52" s="84">
        <v>0</v>
      </c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</row>
    <row r="53" spans="1:44" x14ac:dyDescent="0.35">
      <c r="A53" s="99"/>
      <c r="C53" s="44"/>
      <c r="D53" s="45" t="s">
        <v>83</v>
      </c>
      <c r="E53" s="138"/>
      <c r="F53" s="138">
        <f>IF(E49&gt;0,+F52-(F52*E50/E49),0)</f>
        <v>0</v>
      </c>
      <c r="G53" s="65">
        <f>IF(F49&gt;0,+G52-(G52*F50/F49),0)</f>
        <v>0</v>
      </c>
      <c r="H53" s="65">
        <f t="shared" ref="H53" si="103">IF(G49&gt;0,+H52-(H52*G50/G49),0)</f>
        <v>0</v>
      </c>
      <c r="I53" s="65">
        <f t="shared" ref="I53" si="104">IF(H49&gt;0,+I52-(I52*H50/H49),0)</f>
        <v>0</v>
      </c>
      <c r="J53" s="65">
        <f t="shared" ref="J53" si="105">IF(I49&gt;0,+J52-(J52*I50/I49),0)</f>
        <v>0</v>
      </c>
      <c r="K53" s="65">
        <f t="shared" ref="K53" si="106">IF(J49&gt;0,+K52-(K52*J50/J49),0)</f>
        <v>0</v>
      </c>
      <c r="L53" s="65">
        <f t="shared" ref="L53" si="107">IF(K49&gt;0,+L52-(L52*K50/K49),0)</f>
        <v>0</v>
      </c>
      <c r="M53" s="65">
        <f t="shared" ref="M53" si="108">IF(L49&gt;0,+M52-(M52*L50/L49),0)</f>
        <v>5.6106154749999888</v>
      </c>
      <c r="N53" s="65">
        <f t="shared" ref="N53" si="109">IF(M49&gt;0,+N52-(N52*M50/M49),0)</f>
        <v>0</v>
      </c>
      <c r="O53" s="65">
        <f t="shared" ref="O53" si="110">IF(N49&gt;0,+O52-(O52*N50/N49),0)</f>
        <v>0</v>
      </c>
      <c r="P53" s="65">
        <f t="shared" ref="P53" si="111">IF(O49&gt;0,+P52-(P52*O50/O49),0)</f>
        <v>0</v>
      </c>
      <c r="Q53" s="65">
        <f t="shared" ref="Q53" si="112">IF(P49&gt;0,+Q52-(Q52*P50/P49),0)</f>
        <v>0</v>
      </c>
      <c r="R53" s="65">
        <f t="shared" ref="R53" si="113">IF(Q49&gt;0,+R52-(R52*Q50/Q49),0)</f>
        <v>0</v>
      </c>
      <c r="S53" s="65">
        <f t="shared" ref="S53" si="114">IF(R49&gt;0,+S52-(S52*R50/R49),0)</f>
        <v>0</v>
      </c>
      <c r="T53" s="65">
        <f t="shared" ref="T53" si="115">IF(S49&gt;0,+T52-(T52*S50/S49),0)</f>
        <v>0</v>
      </c>
      <c r="U53" s="65">
        <f t="shared" ref="U53" si="116">IF(T49&gt;0,+U52-(U52*T50/T49),0)</f>
        <v>0</v>
      </c>
      <c r="V53" s="65">
        <f t="shared" ref="V53" si="117">IF(U49&gt;0,+V52-(V52*U50/U49),0)</f>
        <v>0</v>
      </c>
      <c r="W53" s="65">
        <f t="shared" ref="W53" si="118">IF(V49&gt;0,+W52-(W52*V50/V49),0)</f>
        <v>0</v>
      </c>
      <c r="X53" s="65">
        <f t="shared" ref="X53" si="119">IF(W49&gt;0,+X52-(X52*W50/W49),0)</f>
        <v>0</v>
      </c>
      <c r="Y53" s="65">
        <f t="shared" ref="Y53" si="120">IF(X49&gt;0,+Y52-(Y52*X50/X49),0)</f>
        <v>0</v>
      </c>
      <c r="Z53" s="65">
        <f t="shared" ref="Z53" si="121">IF(Y49&gt;0,+Z52-(Z52*Y50/Y49),0)</f>
        <v>0</v>
      </c>
      <c r="AA53" s="65">
        <f t="shared" ref="AA53" si="122">IF(Z49&gt;0,+AA52-(AA52*Z50/Z49),0)</f>
        <v>0</v>
      </c>
      <c r="AB53" s="65">
        <f t="shared" ref="AB53" si="123">IF(AA49&gt;0,+AB52-(AB52*AA50/AA49),0)</f>
        <v>0</v>
      </c>
      <c r="AC53" s="65">
        <f t="shared" ref="AC53" si="124">IF(AB49&gt;0,+AC52-(AC52*AB50/AB49),0)</f>
        <v>0</v>
      </c>
      <c r="AD53" s="65">
        <f t="shared" ref="AD53" si="125">IF(AC49&gt;0,+AD52-(AD52*AC50/AC49),0)</f>
        <v>0</v>
      </c>
      <c r="AE53" s="65">
        <f t="shared" ref="AE53" si="126">IF(AD49&gt;0,+AE52-(AE52*AD50/AD49),0)</f>
        <v>0</v>
      </c>
      <c r="AF53" s="65">
        <f t="shared" ref="AF53" si="127">IF(AE49&gt;0,+AF52-(AF52*AE50/AE49),0)</f>
        <v>0</v>
      </c>
      <c r="AG53" s="65">
        <f t="shared" ref="AG53" si="128">IF(AF49&gt;0,+AG52-(AG52*AF50/AF49),0)</f>
        <v>0</v>
      </c>
      <c r="AH53" s="65">
        <f t="shared" ref="AH53" si="129">IF(AG49&gt;0,+AH52-(AH52*AG50/AG49),0)</f>
        <v>0</v>
      </c>
      <c r="AI53" s="65">
        <f t="shared" ref="AI53" si="130">IF(AH49&gt;0,+AI52-(AI52*AH50/AH49),0)</f>
        <v>0</v>
      </c>
      <c r="AJ53" s="65">
        <f t="shared" ref="AJ53" si="131">IF(AI49&gt;0,+AJ52-(AJ52*AI50/AI49),0)</f>
        <v>0</v>
      </c>
      <c r="AK53" s="65">
        <f t="shared" ref="AK53:AR53" si="132">IF(AJ49&gt;0,+AK52-(AK52*AJ50/AJ49),0)</f>
        <v>0</v>
      </c>
      <c r="AL53" s="65">
        <f t="shared" si="132"/>
        <v>0</v>
      </c>
      <c r="AM53" s="65">
        <f t="shared" si="132"/>
        <v>0</v>
      </c>
      <c r="AN53" s="65">
        <f t="shared" si="132"/>
        <v>0</v>
      </c>
      <c r="AO53" s="65">
        <f t="shared" si="132"/>
        <v>0</v>
      </c>
      <c r="AP53" s="65">
        <f t="shared" si="132"/>
        <v>0</v>
      </c>
      <c r="AQ53" s="65">
        <f t="shared" si="132"/>
        <v>0</v>
      </c>
      <c r="AR53" s="65">
        <f t="shared" si="132"/>
        <v>0</v>
      </c>
    </row>
    <row r="54" spans="1:44" x14ac:dyDescent="0.35">
      <c r="A54" s="99"/>
      <c r="C54" s="44"/>
      <c r="D54" s="45" t="s">
        <v>1</v>
      </c>
      <c r="E54" s="138"/>
      <c r="F54" s="138">
        <f>IF(E53&gt;0,+E53*0.25,0)</f>
        <v>0</v>
      </c>
      <c r="G54" s="65">
        <f t="shared" ref="G54" si="133">IF(F53&gt;0,+F53*0.25,0)</f>
        <v>0</v>
      </c>
      <c r="H54" s="65">
        <f t="shared" ref="H54" si="134">IF(G53&gt;0,+G53*0.25,0)</f>
        <v>0</v>
      </c>
      <c r="I54" s="65">
        <f t="shared" ref="I54" si="135">IF(H53&gt;0,+H53*0.25,0)</f>
        <v>0</v>
      </c>
      <c r="J54" s="65">
        <f t="shared" ref="J54" si="136">IF(I53&gt;0,+I53*0.25,0)</f>
        <v>0</v>
      </c>
      <c r="K54" s="65">
        <f t="shared" ref="K54" si="137">IF(J53&gt;0,+J53*0.25,0)</f>
        <v>0</v>
      </c>
      <c r="L54" s="65">
        <f t="shared" ref="L54" si="138">IF(K53&gt;0,+K53*0.25,0)</f>
        <v>0</v>
      </c>
      <c r="M54" s="65">
        <f t="shared" ref="M54" si="139">IF(L53&gt;0,+L53*0.25,0)</f>
        <v>0</v>
      </c>
      <c r="N54" s="65">
        <f t="shared" ref="N54" si="140">IF(M53&gt;0,+M53*0.25,0)</f>
        <v>1.4026538687499972</v>
      </c>
      <c r="O54" s="65">
        <f t="shared" ref="O54" si="141">IF(N53&gt;0,+N53*0.25,0)</f>
        <v>0</v>
      </c>
      <c r="P54" s="65">
        <f t="shared" ref="P54" si="142">IF(O53&gt;0,+O53*0.25,0)</f>
        <v>0</v>
      </c>
      <c r="Q54" s="65">
        <f t="shared" ref="Q54" si="143">IF(P53&gt;0,+P53*0.25,0)</f>
        <v>0</v>
      </c>
      <c r="R54" s="65">
        <f t="shared" ref="R54" si="144">IF(Q53&gt;0,+Q53*0.25,0)</f>
        <v>0</v>
      </c>
      <c r="S54" s="65">
        <f t="shared" ref="S54" si="145">IF(R53&gt;0,+R53*0.25,0)</f>
        <v>0</v>
      </c>
      <c r="T54" s="65">
        <f t="shared" ref="T54" si="146">IF(S53&gt;0,+S53*0.25,0)</f>
        <v>0</v>
      </c>
      <c r="U54" s="65">
        <f t="shared" ref="U54" si="147">IF(T53&gt;0,+T53*0.25,0)</f>
        <v>0</v>
      </c>
      <c r="V54" s="65">
        <f t="shared" ref="V54" si="148">IF(U53&gt;0,+U53*0.25,0)</f>
        <v>0</v>
      </c>
      <c r="W54" s="65">
        <f t="shared" ref="W54" si="149">IF(V53&gt;0,+V53*0.25,0)</f>
        <v>0</v>
      </c>
      <c r="X54" s="65">
        <f t="shared" ref="X54" si="150">IF(W53&gt;0,+W53*0.25,0)</f>
        <v>0</v>
      </c>
      <c r="Y54" s="65">
        <f t="shared" ref="Y54" si="151">IF(X53&gt;0,+X53*0.25,0)</f>
        <v>0</v>
      </c>
      <c r="Z54" s="65">
        <f t="shared" ref="Z54" si="152">IF(Y53&gt;0,+Y53*0.25,0)</f>
        <v>0</v>
      </c>
      <c r="AA54" s="65">
        <f t="shared" ref="AA54" si="153">IF(Z53&gt;0,+Z53*0.25,0)</f>
        <v>0</v>
      </c>
      <c r="AB54" s="65">
        <f t="shared" ref="AB54" si="154">IF(AA53&gt;0,+AA53*0.25,0)</f>
        <v>0</v>
      </c>
      <c r="AC54" s="65">
        <f t="shared" ref="AC54" si="155">IF(AB53&gt;0,+AB53*0.25,0)</f>
        <v>0</v>
      </c>
      <c r="AD54" s="65">
        <f t="shared" ref="AD54" si="156">IF(AC53&gt;0,+AC53*0.25,0)</f>
        <v>0</v>
      </c>
      <c r="AE54" s="65">
        <f t="shared" ref="AE54" si="157">IF(AD53&gt;0,+AD53*0.25,0)</f>
        <v>0</v>
      </c>
      <c r="AF54" s="65">
        <f t="shared" ref="AF54" si="158">IF(AE53&gt;0,+AE53*0.25,0)</f>
        <v>0</v>
      </c>
      <c r="AG54" s="65">
        <f t="shared" ref="AG54" si="159">IF(AF53&gt;0,+AF53*0.25,0)</f>
        <v>0</v>
      </c>
      <c r="AH54" s="65">
        <f t="shared" ref="AH54" si="160">IF(AG53&gt;0,+AG53*0.25,0)</f>
        <v>0</v>
      </c>
      <c r="AI54" s="65">
        <f t="shared" ref="AI54" si="161">IF(AH53&gt;0,+AH53*0.25,0)</f>
        <v>0</v>
      </c>
      <c r="AJ54" s="65">
        <f t="shared" ref="AJ54" si="162">IF(AI53&gt;0,+AI53*0.25,0)</f>
        <v>0</v>
      </c>
      <c r="AK54" s="65">
        <f t="shared" ref="AK54:AR54" si="163">IF(AJ53&gt;0,+AJ53*0.25,0)</f>
        <v>0</v>
      </c>
      <c r="AL54" s="65">
        <f t="shared" si="163"/>
        <v>0</v>
      </c>
      <c r="AM54" s="65">
        <f t="shared" si="163"/>
        <v>0</v>
      </c>
      <c r="AN54" s="65">
        <f t="shared" si="163"/>
        <v>0</v>
      </c>
      <c r="AO54" s="65">
        <f t="shared" si="163"/>
        <v>0</v>
      </c>
      <c r="AP54" s="65">
        <f t="shared" si="163"/>
        <v>0</v>
      </c>
      <c r="AQ54" s="65">
        <f t="shared" si="163"/>
        <v>0</v>
      </c>
      <c r="AR54" s="65">
        <f t="shared" si="163"/>
        <v>0</v>
      </c>
    </row>
    <row r="55" spans="1:44" x14ac:dyDescent="0.35">
      <c r="A55" s="99"/>
      <c r="C55" s="54"/>
      <c r="D55" s="25" t="s">
        <v>29</v>
      </c>
      <c r="E55" s="138">
        <v>0</v>
      </c>
      <c r="F55" s="145">
        <v>0</v>
      </c>
      <c r="G55" s="12">
        <v>0</v>
      </c>
      <c r="H55" s="12">
        <v>0</v>
      </c>
      <c r="I55" s="12">
        <f t="shared" ref="I55" si="164">IF(H49,I49*(H55/H49),0)</f>
        <v>0</v>
      </c>
      <c r="J55" s="12">
        <f t="shared" ref="J55" si="165">IF(I49,J49*(I55/I49),0)</f>
        <v>0</v>
      </c>
      <c r="K55" s="12">
        <f t="shared" ref="K55" si="166">IF(J49,K49*(J55/J49),0)</f>
        <v>0</v>
      </c>
      <c r="L55" s="12">
        <f t="shared" ref="L55" si="167">IF(K49,L49*(K55/K49),0)</f>
        <v>0</v>
      </c>
      <c r="M55" s="12">
        <f t="shared" ref="M55" si="168">IF(L49,M49*(L55/L49),0)</f>
        <v>0</v>
      </c>
      <c r="N55" s="12">
        <f t="shared" ref="N55" si="169">IF(M49,N49*(M55/M49),0)</f>
        <v>0</v>
      </c>
      <c r="O55" s="12">
        <f t="shared" ref="O55" si="170">IF(N49,O49*(N55/N49),0)</f>
        <v>0</v>
      </c>
      <c r="P55" s="12">
        <f t="shared" ref="P55" si="171">IF(O49,P49*(O55/O49),0)</f>
        <v>0</v>
      </c>
      <c r="Q55" s="12">
        <f t="shared" ref="Q55" si="172">IF(P49,Q49*(P55/P49),0)</f>
        <v>0</v>
      </c>
      <c r="R55" s="12">
        <f t="shared" ref="R55" si="173">IF(Q49,R49*(Q55/Q49),0)</f>
        <v>0</v>
      </c>
      <c r="S55" s="12">
        <f t="shared" ref="S55" si="174">IF(R49,S49*(R55/R49),0)</f>
        <v>0</v>
      </c>
      <c r="T55" s="12">
        <f t="shared" ref="T55" si="175">IF(S49,T49*(S55/S49),0)</f>
        <v>0</v>
      </c>
      <c r="U55" s="12">
        <f t="shared" ref="U55" si="176">IF(T49,U49*(T55/T49),0)</f>
        <v>0</v>
      </c>
      <c r="V55" s="12">
        <f t="shared" ref="V55" si="177">IF(U49,V49*(U55/U49),0)</f>
        <v>0</v>
      </c>
      <c r="W55" s="12">
        <f t="shared" ref="W55" si="178">IF(V49,W49*(V55/V49),0)</f>
        <v>0</v>
      </c>
      <c r="X55" s="12">
        <f t="shared" ref="X55" si="179">IF(W49,X49*(W55/W49),0)</f>
        <v>0</v>
      </c>
      <c r="Y55" s="12">
        <f t="shared" ref="Y55" si="180">IF(X49,Y49*(X55/X49),0)</f>
        <v>0</v>
      </c>
      <c r="Z55" s="12">
        <f t="shared" ref="Z55" si="181">IF(Y49,Z49*(Y55/Y49),0)</f>
        <v>0</v>
      </c>
      <c r="AA55" s="12">
        <f t="shared" ref="AA55" si="182">IF(Z49,AA49*(Z55/Z49),0)</f>
        <v>0</v>
      </c>
      <c r="AB55" s="12">
        <f t="shared" ref="AB55" si="183">IF(AA49,AB49*(AA55/AA49),0)</f>
        <v>0</v>
      </c>
      <c r="AC55" s="12">
        <f t="shared" ref="AC55" si="184">IF(AB49,AC49*(AB55/AB49),0)</f>
        <v>0</v>
      </c>
      <c r="AD55" s="12">
        <f t="shared" ref="AD55" si="185">IF(AC49,AD49*(AC55/AC49),0)</f>
        <v>0</v>
      </c>
      <c r="AE55" s="12">
        <f t="shared" ref="AE55" si="186">IF(AD49,AE49*(AD55/AD49),0)</f>
        <v>0</v>
      </c>
      <c r="AF55" s="12">
        <f t="shared" ref="AF55" si="187">IF(AE49,AF49*(AE55/AE49),0)</f>
        <v>0</v>
      </c>
      <c r="AG55" s="12">
        <f t="shared" ref="AG55" si="188">IF(AF49,AG49*(AF55/AF49),0)</f>
        <v>0</v>
      </c>
      <c r="AH55" s="12">
        <f t="shared" ref="AH55" si="189">IF(AG49,AH49*(AG55/AG49),0)</f>
        <v>0</v>
      </c>
      <c r="AI55" s="12">
        <f t="shared" ref="AI55" si="190">IF(AH49,AI49*(AH55/AH49),0)</f>
        <v>0</v>
      </c>
      <c r="AJ55" s="12">
        <f t="shared" ref="AJ55" si="191">IF(AI49,AJ49*(AI55/AI49),0)</f>
        <v>0</v>
      </c>
      <c r="AK55" s="12">
        <f t="shared" ref="AK55:AR55" si="192">IF(AJ49,AK49*(AJ55/AJ49),0)</f>
        <v>0</v>
      </c>
      <c r="AL55" s="12">
        <f t="shared" si="192"/>
        <v>0</v>
      </c>
      <c r="AM55" s="12">
        <f t="shared" si="192"/>
        <v>0</v>
      </c>
      <c r="AN55" s="12">
        <f t="shared" si="192"/>
        <v>0</v>
      </c>
      <c r="AO55" s="12">
        <f t="shared" si="192"/>
        <v>0</v>
      </c>
      <c r="AP55" s="12">
        <f t="shared" si="192"/>
        <v>0</v>
      </c>
      <c r="AQ55" s="12">
        <f t="shared" si="192"/>
        <v>0</v>
      </c>
      <c r="AR55" s="74">
        <f t="shared" si="192"/>
        <v>0</v>
      </c>
    </row>
    <row r="56" spans="1:44" s="3" customFormat="1" x14ac:dyDescent="0.35">
      <c r="A56" s="101"/>
      <c r="C56" s="157"/>
      <c r="D56" s="158" t="s">
        <v>51</v>
      </c>
      <c r="E56" s="143">
        <v>0</v>
      </c>
      <c r="F56" s="143">
        <f>+E56</f>
        <v>0</v>
      </c>
      <c r="G56" s="153">
        <f t="shared" ref="G56:O56" si="193">+G6</f>
        <v>3.5000000000000003E-2</v>
      </c>
      <c r="H56" s="153">
        <f t="shared" si="193"/>
        <v>2.5000000000000001E-2</v>
      </c>
      <c r="I56" s="153">
        <f t="shared" si="193"/>
        <v>2.2499999999999999E-2</v>
      </c>
      <c r="J56" s="153">
        <f t="shared" si="193"/>
        <v>0.02</v>
      </c>
      <c r="K56" s="153">
        <f t="shared" si="193"/>
        <v>0.02</v>
      </c>
      <c r="L56" s="153">
        <f t="shared" si="193"/>
        <v>0.02</v>
      </c>
      <c r="M56" s="153">
        <f t="shared" si="193"/>
        <v>0.02</v>
      </c>
      <c r="N56" s="153">
        <f t="shared" si="193"/>
        <v>0.02</v>
      </c>
      <c r="O56" s="153">
        <f t="shared" si="193"/>
        <v>0.02</v>
      </c>
      <c r="P56" s="153">
        <f t="shared" ref="P56:AK56" si="194">+P6</f>
        <v>0.02</v>
      </c>
      <c r="Q56" s="153">
        <f t="shared" si="194"/>
        <v>0.02</v>
      </c>
      <c r="R56" s="153">
        <f t="shared" si="194"/>
        <v>0.02</v>
      </c>
      <c r="S56" s="153">
        <f t="shared" si="194"/>
        <v>0.02</v>
      </c>
      <c r="T56" s="153">
        <f t="shared" si="194"/>
        <v>0.02</v>
      </c>
      <c r="U56" s="153">
        <f t="shared" si="194"/>
        <v>0.02</v>
      </c>
      <c r="V56" s="153">
        <f t="shared" si="194"/>
        <v>0.02</v>
      </c>
      <c r="W56" s="153">
        <f t="shared" si="194"/>
        <v>0.02</v>
      </c>
      <c r="X56" s="153">
        <f t="shared" si="194"/>
        <v>0.02</v>
      </c>
      <c r="Y56" s="153">
        <f t="shared" si="194"/>
        <v>0.02</v>
      </c>
      <c r="Z56" s="153">
        <f t="shared" si="194"/>
        <v>0.02</v>
      </c>
      <c r="AA56" s="153">
        <f t="shared" si="194"/>
        <v>0.02</v>
      </c>
      <c r="AB56" s="153">
        <f t="shared" si="194"/>
        <v>0.02</v>
      </c>
      <c r="AC56" s="153">
        <f t="shared" si="194"/>
        <v>0.02</v>
      </c>
      <c r="AD56" s="153">
        <f t="shared" si="194"/>
        <v>0.02</v>
      </c>
      <c r="AE56" s="153">
        <f t="shared" si="194"/>
        <v>0.02</v>
      </c>
      <c r="AF56" s="153">
        <f t="shared" si="194"/>
        <v>0.02</v>
      </c>
      <c r="AG56" s="153">
        <f t="shared" si="194"/>
        <v>0.02</v>
      </c>
      <c r="AH56" s="153">
        <f t="shared" si="194"/>
        <v>0.02</v>
      </c>
      <c r="AI56" s="153">
        <f t="shared" si="194"/>
        <v>0.02</v>
      </c>
      <c r="AJ56" s="153">
        <f t="shared" si="194"/>
        <v>0.02</v>
      </c>
      <c r="AK56" s="153">
        <f t="shared" si="194"/>
        <v>0.02</v>
      </c>
      <c r="AL56" s="153">
        <f t="shared" ref="AL56:AR56" si="195">+AL6</f>
        <v>0.02</v>
      </c>
      <c r="AM56" s="153">
        <f t="shared" si="195"/>
        <v>0.02</v>
      </c>
      <c r="AN56" s="153">
        <f t="shared" si="195"/>
        <v>0.02</v>
      </c>
      <c r="AO56" s="153">
        <f t="shared" si="195"/>
        <v>0.02</v>
      </c>
      <c r="AP56" s="153">
        <f t="shared" si="195"/>
        <v>0.02</v>
      </c>
      <c r="AQ56" s="153">
        <f t="shared" si="195"/>
        <v>0.02</v>
      </c>
      <c r="AR56" s="154">
        <f t="shared" si="195"/>
        <v>0.02</v>
      </c>
    </row>
    <row r="57" spans="1:44" x14ac:dyDescent="0.35">
      <c r="A57" s="99"/>
      <c r="D57" s="25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</row>
    <row r="58" spans="1:44" x14ac:dyDescent="0.35">
      <c r="A58" s="99"/>
    </row>
    <row r="59" spans="1:44" x14ac:dyDescent="0.35">
      <c r="A59" s="99"/>
      <c r="C59" s="40" t="s">
        <v>28</v>
      </c>
      <c r="D59" s="59"/>
      <c r="E59" s="134"/>
      <c r="F59" s="144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73"/>
    </row>
    <row r="60" spans="1:44" x14ac:dyDescent="0.35">
      <c r="A60" s="99"/>
      <c r="C60" s="44" t="s">
        <v>85</v>
      </c>
      <c r="D60" s="25" t="s">
        <v>81</v>
      </c>
      <c r="E60" s="138">
        <f>5000*E3</f>
        <v>22500</v>
      </c>
      <c r="F60" s="145">
        <f>+E60*(1+F66)-(F62*(1+F66))</f>
        <v>23175</v>
      </c>
      <c r="G60" s="12">
        <f t="shared" ref="G60:AR60" si="196">+F60*(1+G66)-(G62*(1+G66))</f>
        <v>23580.5625</v>
      </c>
      <c r="H60" s="12">
        <f t="shared" si="196"/>
        <v>23875.319531249999</v>
      </c>
      <c r="I60" s="12">
        <f t="shared" si="196"/>
        <v>24143.91687597656</v>
      </c>
      <c r="J60" s="12">
        <f t="shared" si="196"/>
        <v>24385.356044736327</v>
      </c>
      <c r="K60" s="12">
        <f t="shared" si="196"/>
        <v>24629.209605183689</v>
      </c>
      <c r="L60" s="12">
        <f t="shared" si="196"/>
        <v>24875.501701235527</v>
      </c>
      <c r="M60" s="12">
        <f t="shared" si="196"/>
        <v>25124.256718247882</v>
      </c>
      <c r="N60" s="12">
        <f t="shared" si="196"/>
        <v>25375.49928543036</v>
      </c>
      <c r="O60" s="12">
        <f t="shared" si="196"/>
        <v>25629.254278284665</v>
      </c>
      <c r="P60" s="12">
        <f t="shared" si="196"/>
        <v>25885.546821067514</v>
      </c>
      <c r="Q60" s="12">
        <f t="shared" si="196"/>
        <v>26144.40228927819</v>
      </c>
      <c r="R60" s="12">
        <f t="shared" si="196"/>
        <v>0</v>
      </c>
      <c r="S60" s="12">
        <f t="shared" si="196"/>
        <v>0</v>
      </c>
      <c r="T60" s="12">
        <f t="shared" si="196"/>
        <v>0</v>
      </c>
      <c r="U60" s="12">
        <f t="shared" si="196"/>
        <v>0</v>
      </c>
      <c r="V60" s="12">
        <f t="shared" si="196"/>
        <v>0</v>
      </c>
      <c r="W60" s="12">
        <f t="shared" si="196"/>
        <v>0</v>
      </c>
      <c r="X60" s="12">
        <f t="shared" si="196"/>
        <v>0</v>
      </c>
      <c r="Y60" s="12">
        <f t="shared" si="196"/>
        <v>0</v>
      </c>
      <c r="Z60" s="12">
        <f t="shared" si="196"/>
        <v>0</v>
      </c>
      <c r="AA60" s="12">
        <f t="shared" si="196"/>
        <v>0</v>
      </c>
      <c r="AB60" s="12">
        <f t="shared" si="196"/>
        <v>0</v>
      </c>
      <c r="AC60" s="12">
        <f t="shared" si="196"/>
        <v>0</v>
      </c>
      <c r="AD60" s="12">
        <f t="shared" si="196"/>
        <v>0</v>
      </c>
      <c r="AE60" s="12">
        <f t="shared" si="196"/>
        <v>0</v>
      </c>
      <c r="AF60" s="12">
        <f t="shared" si="196"/>
        <v>0</v>
      </c>
      <c r="AG60" s="12">
        <f t="shared" si="196"/>
        <v>0</v>
      </c>
      <c r="AH60" s="12">
        <f t="shared" si="196"/>
        <v>0</v>
      </c>
      <c r="AI60" s="12">
        <f t="shared" si="196"/>
        <v>0</v>
      </c>
      <c r="AJ60" s="12">
        <f t="shared" si="196"/>
        <v>0</v>
      </c>
      <c r="AK60" s="12">
        <f t="shared" si="196"/>
        <v>0</v>
      </c>
      <c r="AL60" s="12">
        <f t="shared" si="196"/>
        <v>0</v>
      </c>
      <c r="AM60" s="12">
        <f t="shared" si="196"/>
        <v>0</v>
      </c>
      <c r="AN60" s="12">
        <f t="shared" si="196"/>
        <v>0</v>
      </c>
      <c r="AO60" s="12">
        <f t="shared" si="196"/>
        <v>0</v>
      </c>
      <c r="AP60" s="12">
        <f t="shared" si="196"/>
        <v>0</v>
      </c>
      <c r="AQ60" s="12">
        <f t="shared" si="196"/>
        <v>0</v>
      </c>
      <c r="AR60" s="74">
        <f t="shared" si="196"/>
        <v>0</v>
      </c>
    </row>
    <row r="61" spans="1:44" x14ac:dyDescent="0.35">
      <c r="A61" s="99"/>
      <c r="C61" s="54"/>
      <c r="D61" s="25" t="s">
        <v>82</v>
      </c>
      <c r="E61" s="138">
        <v>1000</v>
      </c>
      <c r="F61" s="138">
        <f>IF(E61&gt;0,+E61-(F62*E61/E60),0)</f>
        <v>1000</v>
      </c>
      <c r="G61" s="46">
        <f t="shared" ref="G61:AR61" si="197">IF(F61&gt;0,+F61-(G62*F61/F60),0)</f>
        <v>1000</v>
      </c>
      <c r="H61" s="46">
        <f t="shared" si="197"/>
        <v>1000</v>
      </c>
      <c r="I61" s="46">
        <f t="shared" si="197"/>
        <v>1000</v>
      </c>
      <c r="J61" s="46">
        <f t="shared" si="197"/>
        <v>1000</v>
      </c>
      <c r="K61" s="46">
        <f t="shared" si="197"/>
        <v>1000</v>
      </c>
      <c r="L61" s="46">
        <f t="shared" si="197"/>
        <v>1000</v>
      </c>
      <c r="M61" s="46">
        <f t="shared" si="197"/>
        <v>1000</v>
      </c>
      <c r="N61" s="46">
        <f t="shared" si="197"/>
        <v>1000</v>
      </c>
      <c r="O61" s="46">
        <f t="shared" si="197"/>
        <v>1000</v>
      </c>
      <c r="P61" s="46">
        <f t="shared" si="197"/>
        <v>1000</v>
      </c>
      <c r="Q61" s="46">
        <f t="shared" si="197"/>
        <v>1000</v>
      </c>
      <c r="R61" s="46">
        <f t="shared" si="197"/>
        <v>0</v>
      </c>
      <c r="S61" s="46">
        <f t="shared" si="197"/>
        <v>0</v>
      </c>
      <c r="T61" s="46">
        <f t="shared" si="197"/>
        <v>0</v>
      </c>
      <c r="U61" s="46">
        <f t="shared" si="197"/>
        <v>0</v>
      </c>
      <c r="V61" s="46">
        <f t="shared" si="197"/>
        <v>0</v>
      </c>
      <c r="W61" s="46">
        <f t="shared" si="197"/>
        <v>0</v>
      </c>
      <c r="X61" s="46">
        <f t="shared" si="197"/>
        <v>0</v>
      </c>
      <c r="Y61" s="46">
        <f t="shared" si="197"/>
        <v>0</v>
      </c>
      <c r="Z61" s="46">
        <f t="shared" si="197"/>
        <v>0</v>
      </c>
      <c r="AA61" s="46">
        <f t="shared" si="197"/>
        <v>0</v>
      </c>
      <c r="AB61" s="46">
        <f t="shared" si="197"/>
        <v>0</v>
      </c>
      <c r="AC61" s="46">
        <f t="shared" si="197"/>
        <v>0</v>
      </c>
      <c r="AD61" s="46">
        <f t="shared" si="197"/>
        <v>0</v>
      </c>
      <c r="AE61" s="46">
        <f t="shared" si="197"/>
        <v>0</v>
      </c>
      <c r="AF61" s="46">
        <f t="shared" si="197"/>
        <v>0</v>
      </c>
      <c r="AG61" s="46">
        <f t="shared" si="197"/>
        <v>0</v>
      </c>
      <c r="AH61" s="46">
        <f t="shared" si="197"/>
        <v>0</v>
      </c>
      <c r="AI61" s="46">
        <f t="shared" si="197"/>
        <v>0</v>
      </c>
      <c r="AJ61" s="46">
        <f t="shared" si="197"/>
        <v>0</v>
      </c>
      <c r="AK61" s="46">
        <f t="shared" si="197"/>
        <v>0</v>
      </c>
      <c r="AL61" s="46">
        <f t="shared" si="197"/>
        <v>0</v>
      </c>
      <c r="AM61" s="46">
        <f t="shared" si="197"/>
        <v>0</v>
      </c>
      <c r="AN61" s="46">
        <f t="shared" si="197"/>
        <v>0</v>
      </c>
      <c r="AO61" s="46">
        <f t="shared" si="197"/>
        <v>0</v>
      </c>
      <c r="AP61" s="46">
        <f t="shared" si="197"/>
        <v>0</v>
      </c>
      <c r="AQ61" s="46">
        <f t="shared" si="197"/>
        <v>0</v>
      </c>
      <c r="AR61" s="47">
        <f t="shared" si="197"/>
        <v>0</v>
      </c>
    </row>
    <row r="62" spans="1:44" s="2" customFormat="1" x14ac:dyDescent="0.35">
      <c r="A62" s="100"/>
      <c r="C62" s="48"/>
      <c r="D62" s="86" t="s">
        <v>86</v>
      </c>
      <c r="E62" s="138"/>
      <c r="F62" s="141"/>
      <c r="G62" s="84">
        <f>+F60*(1+F66)*0</f>
        <v>0</v>
      </c>
      <c r="H62" s="84"/>
      <c r="I62" s="84"/>
      <c r="J62" s="84"/>
      <c r="K62" s="84"/>
      <c r="L62" s="84">
        <v>0</v>
      </c>
      <c r="M62" s="84">
        <v>0</v>
      </c>
      <c r="N62" s="84">
        <v>0</v>
      </c>
      <c r="O62" s="84"/>
      <c r="P62" s="84"/>
      <c r="Q62" s="84"/>
      <c r="R62" s="84">
        <f>+Q60</f>
        <v>26144.40228927819</v>
      </c>
      <c r="S62" s="84">
        <v>0</v>
      </c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</row>
    <row r="63" spans="1:44" x14ac:dyDescent="0.35">
      <c r="A63" s="99"/>
      <c r="C63" s="44"/>
      <c r="D63" s="45" t="s">
        <v>83</v>
      </c>
      <c r="E63" s="138"/>
      <c r="F63" s="138">
        <f>+F62-(F62*E61/E60)</f>
        <v>0</v>
      </c>
      <c r="G63" s="46">
        <f>IF(F60&gt;0,+G62-(G62*F61/F60),0)</f>
        <v>0</v>
      </c>
      <c r="H63" s="46">
        <f t="shared" ref="H63:AR63" si="198">IF(G60&gt;0,+H62-(H62*G61/G60),0)</f>
        <v>0</v>
      </c>
      <c r="I63" s="46">
        <f t="shared" si="198"/>
        <v>0</v>
      </c>
      <c r="J63" s="46">
        <f t="shared" si="198"/>
        <v>0</v>
      </c>
      <c r="K63" s="46">
        <f t="shared" si="198"/>
        <v>0</v>
      </c>
      <c r="L63" s="46">
        <f t="shared" si="198"/>
        <v>0</v>
      </c>
      <c r="M63" s="46">
        <f t="shared" si="198"/>
        <v>0</v>
      </c>
      <c r="N63" s="46">
        <f t="shared" si="198"/>
        <v>0</v>
      </c>
      <c r="O63" s="46">
        <f t="shared" si="198"/>
        <v>0</v>
      </c>
      <c r="P63" s="46">
        <f t="shared" si="198"/>
        <v>0</v>
      </c>
      <c r="Q63" s="46">
        <f t="shared" si="198"/>
        <v>0</v>
      </c>
      <c r="R63" s="46">
        <f>IF(Q60&gt;0,+R62-(R62*Q61/Q60),0)</f>
        <v>25144.40228927819</v>
      </c>
      <c r="S63" s="46">
        <f t="shared" si="198"/>
        <v>0</v>
      </c>
      <c r="T63" s="46">
        <f t="shared" si="198"/>
        <v>0</v>
      </c>
      <c r="U63" s="46">
        <f t="shared" si="198"/>
        <v>0</v>
      </c>
      <c r="V63" s="46">
        <f t="shared" si="198"/>
        <v>0</v>
      </c>
      <c r="W63" s="46">
        <f t="shared" si="198"/>
        <v>0</v>
      </c>
      <c r="X63" s="46">
        <f t="shared" si="198"/>
        <v>0</v>
      </c>
      <c r="Y63" s="46">
        <f t="shared" si="198"/>
        <v>0</v>
      </c>
      <c r="Z63" s="46">
        <f t="shared" si="198"/>
        <v>0</v>
      </c>
      <c r="AA63" s="46">
        <f t="shared" si="198"/>
        <v>0</v>
      </c>
      <c r="AB63" s="46">
        <f t="shared" si="198"/>
        <v>0</v>
      </c>
      <c r="AC63" s="46">
        <f t="shared" si="198"/>
        <v>0</v>
      </c>
      <c r="AD63" s="46">
        <f t="shared" si="198"/>
        <v>0</v>
      </c>
      <c r="AE63" s="46">
        <f t="shared" si="198"/>
        <v>0</v>
      </c>
      <c r="AF63" s="46">
        <f t="shared" si="198"/>
        <v>0</v>
      </c>
      <c r="AG63" s="46">
        <f t="shared" si="198"/>
        <v>0</v>
      </c>
      <c r="AH63" s="46">
        <f t="shared" si="198"/>
        <v>0</v>
      </c>
      <c r="AI63" s="46">
        <f t="shared" si="198"/>
        <v>0</v>
      </c>
      <c r="AJ63" s="46">
        <f t="shared" si="198"/>
        <v>0</v>
      </c>
      <c r="AK63" s="46">
        <f t="shared" si="198"/>
        <v>0</v>
      </c>
      <c r="AL63" s="46">
        <f t="shared" si="198"/>
        <v>0</v>
      </c>
      <c r="AM63" s="46">
        <f t="shared" si="198"/>
        <v>0</v>
      </c>
      <c r="AN63" s="46">
        <f t="shared" si="198"/>
        <v>0</v>
      </c>
      <c r="AO63" s="46">
        <f t="shared" si="198"/>
        <v>0</v>
      </c>
      <c r="AP63" s="46">
        <f t="shared" si="198"/>
        <v>0</v>
      </c>
      <c r="AQ63" s="46">
        <f t="shared" si="198"/>
        <v>0</v>
      </c>
      <c r="AR63" s="47">
        <f t="shared" si="198"/>
        <v>0</v>
      </c>
    </row>
    <row r="64" spans="1:44" x14ac:dyDescent="0.35">
      <c r="A64" s="99"/>
      <c r="C64" s="44"/>
      <c r="D64" s="45" t="s">
        <v>1</v>
      </c>
      <c r="E64" s="138"/>
      <c r="F64" s="138">
        <f>IF(E63&gt;0,+E63*0.25,0)</f>
        <v>0</v>
      </c>
      <c r="G64" s="46">
        <f t="shared" ref="G64:AR64" si="199">IF(F63&gt;0,+F63*0.25,0)</f>
        <v>0</v>
      </c>
      <c r="H64" s="46">
        <f t="shared" si="199"/>
        <v>0</v>
      </c>
      <c r="I64" s="46">
        <f t="shared" si="199"/>
        <v>0</v>
      </c>
      <c r="J64" s="46">
        <f t="shared" si="199"/>
        <v>0</v>
      </c>
      <c r="K64" s="46">
        <f t="shared" si="199"/>
        <v>0</v>
      </c>
      <c r="L64" s="46">
        <f t="shared" si="199"/>
        <v>0</v>
      </c>
      <c r="M64" s="46">
        <f t="shared" si="199"/>
        <v>0</v>
      </c>
      <c r="N64" s="46">
        <f t="shared" si="199"/>
        <v>0</v>
      </c>
      <c r="O64" s="46">
        <f t="shared" si="199"/>
        <v>0</v>
      </c>
      <c r="P64" s="46">
        <f t="shared" si="199"/>
        <v>0</v>
      </c>
      <c r="Q64" s="46">
        <f t="shared" si="199"/>
        <v>0</v>
      </c>
      <c r="R64" s="46">
        <f t="shared" si="199"/>
        <v>0</v>
      </c>
      <c r="S64" s="46">
        <f t="shared" si="199"/>
        <v>6286.1005723195476</v>
      </c>
      <c r="T64" s="46">
        <f t="shared" si="199"/>
        <v>0</v>
      </c>
      <c r="U64" s="46">
        <f t="shared" si="199"/>
        <v>0</v>
      </c>
      <c r="V64" s="46">
        <f t="shared" si="199"/>
        <v>0</v>
      </c>
      <c r="W64" s="46">
        <f t="shared" si="199"/>
        <v>0</v>
      </c>
      <c r="X64" s="46">
        <f t="shared" si="199"/>
        <v>0</v>
      </c>
      <c r="Y64" s="46">
        <f t="shared" si="199"/>
        <v>0</v>
      </c>
      <c r="Z64" s="46">
        <f t="shared" si="199"/>
        <v>0</v>
      </c>
      <c r="AA64" s="46">
        <f t="shared" si="199"/>
        <v>0</v>
      </c>
      <c r="AB64" s="46">
        <f t="shared" si="199"/>
        <v>0</v>
      </c>
      <c r="AC64" s="46">
        <f t="shared" si="199"/>
        <v>0</v>
      </c>
      <c r="AD64" s="46">
        <f t="shared" si="199"/>
        <v>0</v>
      </c>
      <c r="AE64" s="46">
        <f t="shared" si="199"/>
        <v>0</v>
      </c>
      <c r="AF64" s="46">
        <f t="shared" si="199"/>
        <v>0</v>
      </c>
      <c r="AG64" s="46">
        <f t="shared" si="199"/>
        <v>0</v>
      </c>
      <c r="AH64" s="46">
        <f t="shared" si="199"/>
        <v>0</v>
      </c>
      <c r="AI64" s="46">
        <f t="shared" si="199"/>
        <v>0</v>
      </c>
      <c r="AJ64" s="46">
        <f t="shared" si="199"/>
        <v>0</v>
      </c>
      <c r="AK64" s="46">
        <f t="shared" si="199"/>
        <v>0</v>
      </c>
      <c r="AL64" s="46">
        <f t="shared" si="199"/>
        <v>0</v>
      </c>
      <c r="AM64" s="46">
        <f t="shared" si="199"/>
        <v>0</v>
      </c>
      <c r="AN64" s="46">
        <f t="shared" si="199"/>
        <v>0</v>
      </c>
      <c r="AO64" s="46">
        <f t="shared" si="199"/>
        <v>0</v>
      </c>
      <c r="AP64" s="46">
        <f t="shared" si="199"/>
        <v>0</v>
      </c>
      <c r="AQ64" s="46">
        <f t="shared" si="199"/>
        <v>0</v>
      </c>
      <c r="AR64" s="47">
        <f t="shared" si="199"/>
        <v>0</v>
      </c>
    </row>
    <row r="65" spans="1:44" x14ac:dyDescent="0.35">
      <c r="A65" s="99"/>
      <c r="C65" s="54"/>
      <c r="D65" s="25" t="s">
        <v>29</v>
      </c>
      <c r="E65" s="138">
        <v>1100</v>
      </c>
      <c r="F65" s="145">
        <f>15000*0.05*3.8*0.85</f>
        <v>2422.5</v>
      </c>
      <c r="G65" s="12">
        <f>17000*0.05*0.85</f>
        <v>722.5</v>
      </c>
      <c r="H65" s="12">
        <f t="shared" ref="H65:Q65" si="200">IF(G60,H60*(G65/F60),0)</f>
        <v>744.33304687499992</v>
      </c>
      <c r="I65" s="12">
        <f t="shared" si="200"/>
        <v>762.11562857299782</v>
      </c>
      <c r="J65" s="12">
        <f t="shared" si="200"/>
        <v>778.39632368838852</v>
      </c>
      <c r="K65" s="12">
        <f t="shared" si="200"/>
        <v>794.04208979452505</v>
      </c>
      <c r="L65" s="12">
        <f t="shared" si="200"/>
        <v>810.00233579939493</v>
      </c>
      <c r="M65" s="12">
        <f t="shared" si="200"/>
        <v>826.28338274896271</v>
      </c>
      <c r="N65" s="12">
        <f t="shared" si="200"/>
        <v>842.89167874221675</v>
      </c>
      <c r="O65" s="12">
        <f t="shared" si="200"/>
        <v>859.83380148493529</v>
      </c>
      <c r="P65" s="12">
        <f t="shared" si="200"/>
        <v>877.11646089478268</v>
      </c>
      <c r="Q65" s="12">
        <f t="shared" si="200"/>
        <v>894.74650175876798</v>
      </c>
      <c r="R65" s="12">
        <f t="shared" ref="R65:AR65" si="201">IF(Q60,R60*(Q65/P60),0)</f>
        <v>0</v>
      </c>
      <c r="S65" s="12">
        <f t="shared" si="201"/>
        <v>0</v>
      </c>
      <c r="T65" s="12">
        <f t="shared" si="201"/>
        <v>0</v>
      </c>
      <c r="U65" s="12">
        <f t="shared" si="201"/>
        <v>0</v>
      </c>
      <c r="V65" s="12">
        <f t="shared" si="201"/>
        <v>0</v>
      </c>
      <c r="W65" s="12">
        <f t="shared" si="201"/>
        <v>0</v>
      </c>
      <c r="X65" s="12">
        <f t="shared" si="201"/>
        <v>0</v>
      </c>
      <c r="Y65" s="12">
        <f t="shared" si="201"/>
        <v>0</v>
      </c>
      <c r="Z65" s="12">
        <f t="shared" si="201"/>
        <v>0</v>
      </c>
      <c r="AA65" s="12">
        <f t="shared" si="201"/>
        <v>0</v>
      </c>
      <c r="AB65" s="12">
        <f t="shared" si="201"/>
        <v>0</v>
      </c>
      <c r="AC65" s="12">
        <f t="shared" si="201"/>
        <v>0</v>
      </c>
      <c r="AD65" s="12">
        <f t="shared" si="201"/>
        <v>0</v>
      </c>
      <c r="AE65" s="12">
        <f t="shared" si="201"/>
        <v>0</v>
      </c>
      <c r="AF65" s="12">
        <f t="shared" si="201"/>
        <v>0</v>
      </c>
      <c r="AG65" s="12">
        <f t="shared" si="201"/>
        <v>0</v>
      </c>
      <c r="AH65" s="12">
        <f t="shared" si="201"/>
        <v>0</v>
      </c>
      <c r="AI65" s="12">
        <f t="shared" si="201"/>
        <v>0</v>
      </c>
      <c r="AJ65" s="12">
        <f t="shared" si="201"/>
        <v>0</v>
      </c>
      <c r="AK65" s="12">
        <f t="shared" si="201"/>
        <v>0</v>
      </c>
      <c r="AL65" s="12">
        <f t="shared" si="201"/>
        <v>0</v>
      </c>
      <c r="AM65" s="12">
        <f t="shared" si="201"/>
        <v>0</v>
      </c>
      <c r="AN65" s="12">
        <f t="shared" si="201"/>
        <v>0</v>
      </c>
      <c r="AO65" s="12">
        <f t="shared" si="201"/>
        <v>0</v>
      </c>
      <c r="AP65" s="12">
        <f t="shared" si="201"/>
        <v>0</v>
      </c>
      <c r="AQ65" s="12">
        <f t="shared" si="201"/>
        <v>0</v>
      </c>
      <c r="AR65" s="74">
        <f t="shared" si="201"/>
        <v>0</v>
      </c>
    </row>
    <row r="66" spans="1:44" s="3" customFormat="1" x14ac:dyDescent="0.35">
      <c r="A66" s="102"/>
      <c r="C66" s="75"/>
      <c r="D66" s="87" t="s">
        <v>51</v>
      </c>
      <c r="E66" s="143">
        <v>0.03</v>
      </c>
      <c r="F66" s="143">
        <f>+E66</f>
        <v>0.03</v>
      </c>
      <c r="G66" s="70">
        <f>+G6/2</f>
        <v>1.7500000000000002E-2</v>
      </c>
      <c r="H66" s="70">
        <f t="shared" ref="H66:AR66" si="202">+H6/2</f>
        <v>1.2500000000000001E-2</v>
      </c>
      <c r="I66" s="70">
        <f t="shared" si="202"/>
        <v>1.125E-2</v>
      </c>
      <c r="J66" s="70">
        <f t="shared" si="202"/>
        <v>0.01</v>
      </c>
      <c r="K66" s="70">
        <f t="shared" si="202"/>
        <v>0.01</v>
      </c>
      <c r="L66" s="70">
        <f t="shared" si="202"/>
        <v>0.01</v>
      </c>
      <c r="M66" s="70">
        <f t="shared" si="202"/>
        <v>0.01</v>
      </c>
      <c r="N66" s="70">
        <f t="shared" si="202"/>
        <v>0.01</v>
      </c>
      <c r="O66" s="70">
        <f t="shared" si="202"/>
        <v>0.01</v>
      </c>
      <c r="P66" s="70">
        <f t="shared" si="202"/>
        <v>0.01</v>
      </c>
      <c r="Q66" s="70">
        <f t="shared" si="202"/>
        <v>0.01</v>
      </c>
      <c r="R66" s="70">
        <f t="shared" si="202"/>
        <v>0.01</v>
      </c>
      <c r="S66" s="70">
        <f t="shared" si="202"/>
        <v>0.01</v>
      </c>
      <c r="T66" s="70">
        <f t="shared" si="202"/>
        <v>0.01</v>
      </c>
      <c r="U66" s="70">
        <f t="shared" si="202"/>
        <v>0.01</v>
      </c>
      <c r="V66" s="70">
        <f t="shared" si="202"/>
        <v>0.01</v>
      </c>
      <c r="W66" s="70">
        <f t="shared" si="202"/>
        <v>0.01</v>
      </c>
      <c r="X66" s="70">
        <f t="shared" si="202"/>
        <v>0.01</v>
      </c>
      <c r="Y66" s="70">
        <f t="shared" si="202"/>
        <v>0.01</v>
      </c>
      <c r="Z66" s="70">
        <f t="shared" si="202"/>
        <v>0.01</v>
      </c>
      <c r="AA66" s="70">
        <f t="shared" si="202"/>
        <v>0.01</v>
      </c>
      <c r="AB66" s="70">
        <f t="shared" si="202"/>
        <v>0.01</v>
      </c>
      <c r="AC66" s="70">
        <f t="shared" si="202"/>
        <v>0.01</v>
      </c>
      <c r="AD66" s="70">
        <f t="shared" si="202"/>
        <v>0.01</v>
      </c>
      <c r="AE66" s="70">
        <f t="shared" si="202"/>
        <v>0.01</v>
      </c>
      <c r="AF66" s="70">
        <f t="shared" si="202"/>
        <v>0.01</v>
      </c>
      <c r="AG66" s="70">
        <f t="shared" si="202"/>
        <v>0.01</v>
      </c>
      <c r="AH66" s="70">
        <f t="shared" si="202"/>
        <v>0.01</v>
      </c>
      <c r="AI66" s="70">
        <f t="shared" si="202"/>
        <v>0.01</v>
      </c>
      <c r="AJ66" s="70">
        <f t="shared" si="202"/>
        <v>0.01</v>
      </c>
      <c r="AK66" s="70">
        <f t="shared" si="202"/>
        <v>0.01</v>
      </c>
      <c r="AL66" s="70">
        <f t="shared" si="202"/>
        <v>0.01</v>
      </c>
      <c r="AM66" s="70">
        <f t="shared" si="202"/>
        <v>0.01</v>
      </c>
      <c r="AN66" s="70">
        <f t="shared" si="202"/>
        <v>0.01</v>
      </c>
      <c r="AO66" s="70">
        <f t="shared" si="202"/>
        <v>0.01</v>
      </c>
      <c r="AP66" s="70">
        <f t="shared" si="202"/>
        <v>0.01</v>
      </c>
      <c r="AQ66" s="70">
        <f t="shared" si="202"/>
        <v>0.01</v>
      </c>
      <c r="AR66" s="71">
        <f t="shared" si="202"/>
        <v>0.01</v>
      </c>
    </row>
    <row r="69" spans="1:44" x14ac:dyDescent="0.35">
      <c r="A69" s="90"/>
      <c r="C69" s="11" t="s">
        <v>9</v>
      </c>
    </row>
    <row r="70" spans="1:44" s="2" customFormat="1" x14ac:dyDescent="0.35">
      <c r="A70" s="91"/>
      <c r="C70" s="78" t="s">
        <v>35</v>
      </c>
      <c r="D70" s="85" t="s">
        <v>81</v>
      </c>
      <c r="E70" s="134">
        <v>360</v>
      </c>
      <c r="F70" s="134">
        <f>+E70*(1+E77)-(F72*(1+E77))</f>
        <v>378</v>
      </c>
      <c r="G70" s="42">
        <f>+IF(F70*(1+F77)-(G72*(1+F77))&lt;0,0,F70*(1+F77)-(G72*(1+F77)))</f>
        <v>393.12</v>
      </c>
      <c r="H70" s="42">
        <f>+IF(G70*(1+G77)-(H72*(1+G77))&lt;0,0,G70*(1+G77)-(H72*(1+G77)))</f>
        <v>0</v>
      </c>
      <c r="I70" s="42">
        <f t="shared" ref="I70:AR70" si="203">+IF(H70*(1+H77)-(I72*(1+H77))&lt;0,0,H70*(1+H77)-(I72*(1+H77)))</f>
        <v>0</v>
      </c>
      <c r="J70" s="42">
        <f t="shared" si="203"/>
        <v>0</v>
      </c>
      <c r="K70" s="42">
        <f t="shared" si="203"/>
        <v>0</v>
      </c>
      <c r="L70" s="42">
        <f t="shared" si="203"/>
        <v>0</v>
      </c>
      <c r="M70" s="42">
        <f t="shared" si="203"/>
        <v>0</v>
      </c>
      <c r="N70" s="42">
        <f t="shared" si="203"/>
        <v>0</v>
      </c>
      <c r="O70" s="42">
        <f t="shared" si="203"/>
        <v>0</v>
      </c>
      <c r="P70" s="42">
        <f t="shared" si="203"/>
        <v>0</v>
      </c>
      <c r="Q70" s="42">
        <f t="shared" si="203"/>
        <v>0</v>
      </c>
      <c r="R70" s="42">
        <f t="shared" si="203"/>
        <v>0</v>
      </c>
      <c r="S70" s="42">
        <f t="shared" si="203"/>
        <v>0</v>
      </c>
      <c r="T70" s="42">
        <f t="shared" si="203"/>
        <v>0</v>
      </c>
      <c r="U70" s="42">
        <f t="shared" si="203"/>
        <v>0</v>
      </c>
      <c r="V70" s="42">
        <f t="shared" si="203"/>
        <v>0</v>
      </c>
      <c r="W70" s="42">
        <f t="shared" si="203"/>
        <v>0</v>
      </c>
      <c r="X70" s="42">
        <f t="shared" si="203"/>
        <v>0</v>
      </c>
      <c r="Y70" s="42">
        <f t="shared" si="203"/>
        <v>0</v>
      </c>
      <c r="Z70" s="42">
        <f t="shared" si="203"/>
        <v>0</v>
      </c>
      <c r="AA70" s="42">
        <f t="shared" si="203"/>
        <v>0</v>
      </c>
      <c r="AB70" s="42">
        <f t="shared" si="203"/>
        <v>0</v>
      </c>
      <c r="AC70" s="42">
        <f t="shared" si="203"/>
        <v>0</v>
      </c>
      <c r="AD70" s="42">
        <f t="shared" si="203"/>
        <v>0</v>
      </c>
      <c r="AE70" s="42">
        <f t="shared" si="203"/>
        <v>0</v>
      </c>
      <c r="AF70" s="42">
        <f t="shared" si="203"/>
        <v>0</v>
      </c>
      <c r="AG70" s="42">
        <f t="shared" si="203"/>
        <v>0</v>
      </c>
      <c r="AH70" s="42">
        <f t="shared" si="203"/>
        <v>0</v>
      </c>
      <c r="AI70" s="42">
        <f t="shared" si="203"/>
        <v>0</v>
      </c>
      <c r="AJ70" s="42">
        <f t="shared" si="203"/>
        <v>0</v>
      </c>
      <c r="AK70" s="42">
        <f t="shared" si="203"/>
        <v>0</v>
      </c>
      <c r="AL70" s="42">
        <f t="shared" si="203"/>
        <v>0</v>
      </c>
      <c r="AM70" s="42">
        <f t="shared" si="203"/>
        <v>0</v>
      </c>
      <c r="AN70" s="42">
        <f t="shared" si="203"/>
        <v>0</v>
      </c>
      <c r="AO70" s="42">
        <f t="shared" si="203"/>
        <v>0</v>
      </c>
      <c r="AP70" s="42">
        <f t="shared" si="203"/>
        <v>0</v>
      </c>
      <c r="AQ70" s="42">
        <f t="shared" si="203"/>
        <v>0</v>
      </c>
      <c r="AR70" s="42">
        <f t="shared" si="203"/>
        <v>0</v>
      </c>
    </row>
    <row r="71" spans="1:44" s="2" customFormat="1" x14ac:dyDescent="0.35">
      <c r="A71" s="91"/>
      <c r="C71" s="48" t="s">
        <v>84</v>
      </c>
      <c r="D71" s="49" t="s">
        <v>82</v>
      </c>
      <c r="E71" s="138">
        <v>415</v>
      </c>
      <c r="F71" s="138">
        <f>IF(E70&gt;0,+E71-(F72*E71/E70),0)</f>
        <v>415</v>
      </c>
      <c r="G71" s="46">
        <f t="shared" ref="G71:AR71" si="204">IF(F70&gt;0,+F71-(G72*F71/F70),0)</f>
        <v>415</v>
      </c>
      <c r="H71" s="46">
        <f t="shared" si="204"/>
        <v>5.6843418860808015E-14</v>
      </c>
      <c r="I71" s="46">
        <f t="shared" si="204"/>
        <v>0</v>
      </c>
      <c r="J71" s="46">
        <f t="shared" si="204"/>
        <v>0</v>
      </c>
      <c r="K71" s="46">
        <f t="shared" si="204"/>
        <v>0</v>
      </c>
      <c r="L71" s="46">
        <f t="shared" si="204"/>
        <v>0</v>
      </c>
      <c r="M71" s="46">
        <f t="shared" si="204"/>
        <v>0</v>
      </c>
      <c r="N71" s="46">
        <f t="shared" si="204"/>
        <v>0</v>
      </c>
      <c r="O71" s="46">
        <f t="shared" si="204"/>
        <v>0</v>
      </c>
      <c r="P71" s="46">
        <f t="shared" si="204"/>
        <v>0</v>
      </c>
      <c r="Q71" s="46">
        <f t="shared" si="204"/>
        <v>0</v>
      </c>
      <c r="R71" s="46">
        <f t="shared" si="204"/>
        <v>0</v>
      </c>
      <c r="S71" s="46">
        <f>IF(R70&gt;0,+R71-(S72*R71/R70),0)</f>
        <v>0</v>
      </c>
      <c r="T71" s="46">
        <f t="shared" si="204"/>
        <v>0</v>
      </c>
      <c r="U71" s="46">
        <f t="shared" si="204"/>
        <v>0</v>
      </c>
      <c r="V71" s="46">
        <f t="shared" si="204"/>
        <v>0</v>
      </c>
      <c r="W71" s="46">
        <f t="shared" si="204"/>
        <v>0</v>
      </c>
      <c r="X71" s="46">
        <f t="shared" si="204"/>
        <v>0</v>
      </c>
      <c r="Y71" s="46">
        <f t="shared" si="204"/>
        <v>0</v>
      </c>
      <c r="Z71" s="46">
        <f t="shared" si="204"/>
        <v>0</v>
      </c>
      <c r="AA71" s="46">
        <f t="shared" si="204"/>
        <v>0</v>
      </c>
      <c r="AB71" s="46">
        <f t="shared" si="204"/>
        <v>0</v>
      </c>
      <c r="AC71" s="46">
        <f t="shared" si="204"/>
        <v>0</v>
      </c>
      <c r="AD71" s="46">
        <f t="shared" si="204"/>
        <v>0</v>
      </c>
      <c r="AE71" s="46">
        <f t="shared" si="204"/>
        <v>0</v>
      </c>
      <c r="AF71" s="46">
        <f t="shared" si="204"/>
        <v>0</v>
      </c>
      <c r="AG71" s="46">
        <f t="shared" si="204"/>
        <v>0</v>
      </c>
      <c r="AH71" s="46">
        <f t="shared" si="204"/>
        <v>0</v>
      </c>
      <c r="AI71" s="46">
        <f t="shared" si="204"/>
        <v>0</v>
      </c>
      <c r="AJ71" s="46">
        <f t="shared" si="204"/>
        <v>0</v>
      </c>
      <c r="AK71" s="46">
        <f t="shared" si="204"/>
        <v>0</v>
      </c>
      <c r="AL71" s="46">
        <f t="shared" si="204"/>
        <v>0</v>
      </c>
      <c r="AM71" s="46">
        <f t="shared" si="204"/>
        <v>0</v>
      </c>
      <c r="AN71" s="46">
        <f t="shared" si="204"/>
        <v>0</v>
      </c>
      <c r="AO71" s="46">
        <f t="shared" si="204"/>
        <v>0</v>
      </c>
      <c r="AP71" s="46">
        <f t="shared" si="204"/>
        <v>0</v>
      </c>
      <c r="AQ71" s="46">
        <f t="shared" si="204"/>
        <v>0</v>
      </c>
      <c r="AR71" s="46">
        <f t="shared" si="204"/>
        <v>0</v>
      </c>
    </row>
    <row r="72" spans="1:44" s="2" customFormat="1" x14ac:dyDescent="0.35">
      <c r="A72" s="91"/>
      <c r="C72" s="48"/>
      <c r="D72" s="49" t="s">
        <v>86</v>
      </c>
      <c r="E72" s="138"/>
      <c r="F72" s="141"/>
      <c r="G72" s="84">
        <v>0</v>
      </c>
      <c r="H72" s="84">
        <f>+G70</f>
        <v>393.12</v>
      </c>
      <c r="I72" s="84">
        <v>0</v>
      </c>
      <c r="J72" s="84">
        <v>0</v>
      </c>
      <c r="K72" s="84"/>
      <c r="L72" s="84">
        <f>+K70</f>
        <v>0</v>
      </c>
      <c r="M72" s="84"/>
      <c r="N72" s="84"/>
      <c r="O72" s="84"/>
      <c r="P72" s="84"/>
      <c r="Q72" s="84"/>
      <c r="R72" s="84"/>
      <c r="S72" s="84">
        <v>0</v>
      </c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</row>
    <row r="73" spans="1:44" x14ac:dyDescent="0.35">
      <c r="A73" s="92"/>
      <c r="C73" s="44"/>
      <c r="D73" s="45" t="s">
        <v>83</v>
      </c>
      <c r="E73" s="138"/>
      <c r="F73" s="138">
        <f>IF(E70&gt;0,+F72-(F72*E71/E70),+F72)</f>
        <v>0</v>
      </c>
      <c r="G73" s="46">
        <f t="shared" ref="G73:AR73" si="205">IF(F70&gt;0,+G72-(G72*F71/F70),+G72)</f>
        <v>0</v>
      </c>
      <c r="H73" s="46">
        <f t="shared" si="205"/>
        <v>-21.879999999999939</v>
      </c>
      <c r="I73" s="46">
        <f t="shared" si="205"/>
        <v>0</v>
      </c>
      <c r="J73" s="46">
        <f t="shared" si="205"/>
        <v>0</v>
      </c>
      <c r="K73" s="46">
        <f t="shared" si="205"/>
        <v>0</v>
      </c>
      <c r="L73" s="46">
        <f t="shared" si="205"/>
        <v>0</v>
      </c>
      <c r="M73" s="46">
        <f t="shared" si="205"/>
        <v>0</v>
      </c>
      <c r="N73" s="46">
        <f t="shared" si="205"/>
        <v>0</v>
      </c>
      <c r="O73" s="46">
        <f t="shared" si="205"/>
        <v>0</v>
      </c>
      <c r="P73" s="46">
        <f t="shared" si="205"/>
        <v>0</v>
      </c>
      <c r="Q73" s="46">
        <f t="shared" si="205"/>
        <v>0</v>
      </c>
      <c r="R73" s="46">
        <f t="shared" si="205"/>
        <v>0</v>
      </c>
      <c r="S73" s="46">
        <f t="shared" si="205"/>
        <v>0</v>
      </c>
      <c r="T73" s="46">
        <f t="shared" si="205"/>
        <v>0</v>
      </c>
      <c r="U73" s="46">
        <f t="shared" si="205"/>
        <v>0</v>
      </c>
      <c r="V73" s="46">
        <f t="shared" si="205"/>
        <v>0</v>
      </c>
      <c r="W73" s="46">
        <f t="shared" si="205"/>
        <v>0</v>
      </c>
      <c r="X73" s="46">
        <f t="shared" si="205"/>
        <v>0</v>
      </c>
      <c r="Y73" s="46">
        <f t="shared" si="205"/>
        <v>0</v>
      </c>
      <c r="Z73" s="46">
        <f t="shared" si="205"/>
        <v>0</v>
      </c>
      <c r="AA73" s="46">
        <f t="shared" si="205"/>
        <v>0</v>
      </c>
      <c r="AB73" s="46">
        <f t="shared" si="205"/>
        <v>0</v>
      </c>
      <c r="AC73" s="46">
        <f t="shared" si="205"/>
        <v>0</v>
      </c>
      <c r="AD73" s="46">
        <f t="shared" si="205"/>
        <v>0</v>
      </c>
      <c r="AE73" s="46">
        <f t="shared" si="205"/>
        <v>0</v>
      </c>
      <c r="AF73" s="46">
        <f t="shared" si="205"/>
        <v>0</v>
      </c>
      <c r="AG73" s="46">
        <f t="shared" si="205"/>
        <v>0</v>
      </c>
      <c r="AH73" s="46">
        <f t="shared" si="205"/>
        <v>0</v>
      </c>
      <c r="AI73" s="46">
        <f t="shared" si="205"/>
        <v>0</v>
      </c>
      <c r="AJ73" s="46">
        <f t="shared" si="205"/>
        <v>0</v>
      </c>
      <c r="AK73" s="46">
        <f t="shared" si="205"/>
        <v>0</v>
      </c>
      <c r="AL73" s="46">
        <f t="shared" si="205"/>
        <v>0</v>
      </c>
      <c r="AM73" s="46">
        <f t="shared" si="205"/>
        <v>0</v>
      </c>
      <c r="AN73" s="46">
        <f t="shared" si="205"/>
        <v>0</v>
      </c>
      <c r="AO73" s="46">
        <f t="shared" si="205"/>
        <v>0</v>
      </c>
      <c r="AP73" s="46">
        <f t="shared" si="205"/>
        <v>0</v>
      </c>
      <c r="AQ73" s="46">
        <f t="shared" si="205"/>
        <v>0</v>
      </c>
      <c r="AR73" s="46">
        <f t="shared" si="205"/>
        <v>0</v>
      </c>
    </row>
    <row r="74" spans="1:44" x14ac:dyDescent="0.35">
      <c r="A74" s="92"/>
      <c r="C74" s="44"/>
      <c r="D74" s="45" t="s">
        <v>1</v>
      </c>
      <c r="E74" s="138"/>
      <c r="F74" s="138">
        <f>IF(E73&gt;0,+E73*0.25,0)</f>
        <v>0</v>
      </c>
      <c r="G74" s="46">
        <f t="shared" ref="G74:AR74" si="206">IF(F73&gt;0,+F73*0.25,0)</f>
        <v>0</v>
      </c>
      <c r="H74" s="46">
        <f t="shared" si="206"/>
        <v>0</v>
      </c>
      <c r="I74" s="46">
        <f t="shared" si="206"/>
        <v>0</v>
      </c>
      <c r="J74" s="46">
        <f t="shared" si="206"/>
        <v>0</v>
      </c>
      <c r="K74" s="46">
        <f t="shared" si="206"/>
        <v>0</v>
      </c>
      <c r="L74" s="46">
        <f t="shared" si="206"/>
        <v>0</v>
      </c>
      <c r="M74" s="46">
        <f t="shared" si="206"/>
        <v>0</v>
      </c>
      <c r="N74" s="46">
        <f t="shared" si="206"/>
        <v>0</v>
      </c>
      <c r="O74" s="46">
        <f t="shared" si="206"/>
        <v>0</v>
      </c>
      <c r="P74" s="46">
        <f t="shared" si="206"/>
        <v>0</v>
      </c>
      <c r="Q74" s="46">
        <f t="shared" si="206"/>
        <v>0</v>
      </c>
      <c r="R74" s="46">
        <f t="shared" si="206"/>
        <v>0</v>
      </c>
      <c r="S74" s="46">
        <f t="shared" si="206"/>
        <v>0</v>
      </c>
      <c r="T74" s="46">
        <f t="shared" si="206"/>
        <v>0</v>
      </c>
      <c r="U74" s="46">
        <f t="shared" si="206"/>
        <v>0</v>
      </c>
      <c r="V74" s="46">
        <f t="shared" si="206"/>
        <v>0</v>
      </c>
      <c r="W74" s="46">
        <f t="shared" si="206"/>
        <v>0</v>
      </c>
      <c r="X74" s="46">
        <f t="shared" si="206"/>
        <v>0</v>
      </c>
      <c r="Y74" s="46">
        <f t="shared" si="206"/>
        <v>0</v>
      </c>
      <c r="Z74" s="46">
        <f t="shared" si="206"/>
        <v>0</v>
      </c>
      <c r="AA74" s="46">
        <f t="shared" si="206"/>
        <v>0</v>
      </c>
      <c r="AB74" s="46">
        <f t="shared" si="206"/>
        <v>0</v>
      </c>
      <c r="AC74" s="46">
        <f t="shared" si="206"/>
        <v>0</v>
      </c>
      <c r="AD74" s="46">
        <f t="shared" si="206"/>
        <v>0</v>
      </c>
      <c r="AE74" s="46">
        <f t="shared" si="206"/>
        <v>0</v>
      </c>
      <c r="AF74" s="46">
        <f t="shared" si="206"/>
        <v>0</v>
      </c>
      <c r="AG74" s="46">
        <f t="shared" si="206"/>
        <v>0</v>
      </c>
      <c r="AH74" s="46">
        <f t="shared" si="206"/>
        <v>0</v>
      </c>
      <c r="AI74" s="46">
        <f t="shared" si="206"/>
        <v>0</v>
      </c>
      <c r="AJ74" s="46">
        <f t="shared" si="206"/>
        <v>0</v>
      </c>
      <c r="AK74" s="46">
        <f t="shared" si="206"/>
        <v>0</v>
      </c>
      <c r="AL74" s="46">
        <f t="shared" si="206"/>
        <v>0</v>
      </c>
      <c r="AM74" s="46">
        <f t="shared" si="206"/>
        <v>0</v>
      </c>
      <c r="AN74" s="46">
        <f t="shared" si="206"/>
        <v>0</v>
      </c>
      <c r="AO74" s="46">
        <f t="shared" si="206"/>
        <v>0</v>
      </c>
      <c r="AP74" s="46">
        <f t="shared" si="206"/>
        <v>0</v>
      </c>
      <c r="AQ74" s="46">
        <f t="shared" si="206"/>
        <v>0</v>
      </c>
      <c r="AR74" s="46">
        <f t="shared" si="206"/>
        <v>0</v>
      </c>
    </row>
    <row r="75" spans="1:44" x14ac:dyDescent="0.35">
      <c r="A75" s="92"/>
      <c r="C75" s="44"/>
      <c r="D75" s="45" t="s">
        <v>62</v>
      </c>
      <c r="E75" s="138">
        <v>4</v>
      </c>
      <c r="F75" s="138">
        <f>IF(F70&gt;0,+E75*(1+F$6),0)</f>
        <v>4.16</v>
      </c>
      <c r="G75" s="46">
        <f>IF(G70&gt;0,+F75*(1+G$6),+IF(G72&gt;0,+F75*(1+G$6)/2,0))</f>
        <v>4.3056000000000001</v>
      </c>
      <c r="H75" s="46">
        <f>IF(H70&gt;0,+G75*(1+H$6),+IF(H72&gt;0,+G75*(1+H$6)/2,0))</f>
        <v>2.20662</v>
      </c>
      <c r="I75" s="46">
        <f t="shared" ref="I75:AR75" si="207">IF(I70&gt;0,+H75*(1+I$6),+IF(I72&gt;0,+H75*(1+I$6)/2,0))</f>
        <v>0</v>
      </c>
      <c r="J75" s="46">
        <f t="shared" si="207"/>
        <v>0</v>
      </c>
      <c r="K75" s="46">
        <f t="shared" si="207"/>
        <v>0</v>
      </c>
      <c r="L75" s="46">
        <f t="shared" si="207"/>
        <v>0</v>
      </c>
      <c r="M75" s="46">
        <f t="shared" si="207"/>
        <v>0</v>
      </c>
      <c r="N75" s="46">
        <f t="shared" si="207"/>
        <v>0</v>
      </c>
      <c r="O75" s="46">
        <f t="shared" si="207"/>
        <v>0</v>
      </c>
      <c r="P75" s="46">
        <f t="shared" si="207"/>
        <v>0</v>
      </c>
      <c r="Q75" s="46">
        <f t="shared" si="207"/>
        <v>0</v>
      </c>
      <c r="R75" s="46">
        <f t="shared" si="207"/>
        <v>0</v>
      </c>
      <c r="S75" s="46">
        <f t="shared" si="207"/>
        <v>0</v>
      </c>
      <c r="T75" s="46">
        <f t="shared" si="207"/>
        <v>0</v>
      </c>
      <c r="U75" s="46">
        <f t="shared" si="207"/>
        <v>0</v>
      </c>
      <c r="V75" s="46">
        <f t="shared" si="207"/>
        <v>0</v>
      </c>
      <c r="W75" s="46">
        <f t="shared" si="207"/>
        <v>0</v>
      </c>
      <c r="X75" s="46">
        <f t="shared" si="207"/>
        <v>0</v>
      </c>
      <c r="Y75" s="46">
        <f t="shared" si="207"/>
        <v>0</v>
      </c>
      <c r="Z75" s="46">
        <f t="shared" si="207"/>
        <v>0</v>
      </c>
      <c r="AA75" s="46">
        <f t="shared" si="207"/>
        <v>0</v>
      </c>
      <c r="AB75" s="46">
        <f t="shared" si="207"/>
        <v>0</v>
      </c>
      <c r="AC75" s="46">
        <f t="shared" si="207"/>
        <v>0</v>
      </c>
      <c r="AD75" s="46">
        <f t="shared" si="207"/>
        <v>0</v>
      </c>
      <c r="AE75" s="46">
        <f t="shared" si="207"/>
        <v>0</v>
      </c>
      <c r="AF75" s="46">
        <f t="shared" si="207"/>
        <v>0</v>
      </c>
      <c r="AG75" s="46">
        <f t="shared" si="207"/>
        <v>0</v>
      </c>
      <c r="AH75" s="46">
        <f t="shared" si="207"/>
        <v>0</v>
      </c>
      <c r="AI75" s="46">
        <f t="shared" si="207"/>
        <v>0</v>
      </c>
      <c r="AJ75" s="46">
        <f t="shared" si="207"/>
        <v>0</v>
      </c>
      <c r="AK75" s="46">
        <f t="shared" si="207"/>
        <v>0</v>
      </c>
      <c r="AL75" s="46">
        <f t="shared" si="207"/>
        <v>0</v>
      </c>
      <c r="AM75" s="46">
        <f t="shared" si="207"/>
        <v>0</v>
      </c>
      <c r="AN75" s="46">
        <f t="shared" si="207"/>
        <v>0</v>
      </c>
      <c r="AO75" s="46">
        <f t="shared" si="207"/>
        <v>0</v>
      </c>
      <c r="AP75" s="46">
        <f t="shared" si="207"/>
        <v>0</v>
      </c>
      <c r="AQ75" s="46">
        <f t="shared" si="207"/>
        <v>0</v>
      </c>
      <c r="AR75" s="46">
        <f t="shared" si="207"/>
        <v>0</v>
      </c>
    </row>
    <row r="76" spans="1:44" x14ac:dyDescent="0.35">
      <c r="A76" s="92"/>
      <c r="C76" s="44"/>
      <c r="D76" s="45" t="s">
        <v>16</v>
      </c>
      <c r="E76" s="138">
        <v>5</v>
      </c>
      <c r="F76" s="138">
        <f>+IF(F70&gt;0,E76*(1+E77),0)</f>
        <v>5.25</v>
      </c>
      <c r="G76" s="46">
        <f>+IF(G70&gt;0,F76*(1+F77),0)</f>
        <v>5.46</v>
      </c>
      <c r="H76" s="46">
        <f>+IF(H70&gt;0,G76*(1+G77),0)</f>
        <v>0</v>
      </c>
      <c r="I76" s="46">
        <f>+IF(I70&gt;0,H76*(1+H77),0)</f>
        <v>0</v>
      </c>
      <c r="J76" s="46">
        <f>+IF(J70&gt;0,I76*(1+I77),0)</f>
        <v>0</v>
      </c>
      <c r="K76" s="46">
        <f t="shared" ref="K76:AR76" si="208">+IF(K70&gt;0,J76*(1+J77),0)</f>
        <v>0</v>
      </c>
      <c r="L76" s="46">
        <f t="shared" si="208"/>
        <v>0</v>
      </c>
      <c r="M76" s="46">
        <f t="shared" si="208"/>
        <v>0</v>
      </c>
      <c r="N76" s="46">
        <f t="shared" si="208"/>
        <v>0</v>
      </c>
      <c r="O76" s="46">
        <f t="shared" si="208"/>
        <v>0</v>
      </c>
      <c r="P76" s="46">
        <f t="shared" si="208"/>
        <v>0</v>
      </c>
      <c r="Q76" s="46">
        <f t="shared" si="208"/>
        <v>0</v>
      </c>
      <c r="R76" s="46">
        <f t="shared" si="208"/>
        <v>0</v>
      </c>
      <c r="S76" s="46">
        <f t="shared" si="208"/>
        <v>0</v>
      </c>
      <c r="T76" s="46">
        <f t="shared" si="208"/>
        <v>0</v>
      </c>
      <c r="U76" s="46">
        <f t="shared" si="208"/>
        <v>0</v>
      </c>
      <c r="V76" s="46">
        <f t="shared" si="208"/>
        <v>0</v>
      </c>
      <c r="W76" s="46">
        <f t="shared" si="208"/>
        <v>0</v>
      </c>
      <c r="X76" s="46">
        <f t="shared" si="208"/>
        <v>0</v>
      </c>
      <c r="Y76" s="46">
        <f t="shared" si="208"/>
        <v>0</v>
      </c>
      <c r="Z76" s="46">
        <f t="shared" si="208"/>
        <v>0</v>
      </c>
      <c r="AA76" s="46">
        <f t="shared" si="208"/>
        <v>0</v>
      </c>
      <c r="AB76" s="46">
        <f t="shared" si="208"/>
        <v>0</v>
      </c>
      <c r="AC76" s="46">
        <f t="shared" si="208"/>
        <v>0</v>
      </c>
      <c r="AD76" s="46">
        <f t="shared" si="208"/>
        <v>0</v>
      </c>
      <c r="AE76" s="46">
        <f t="shared" si="208"/>
        <v>0</v>
      </c>
      <c r="AF76" s="46">
        <f t="shared" si="208"/>
        <v>0</v>
      </c>
      <c r="AG76" s="46">
        <f t="shared" si="208"/>
        <v>0</v>
      </c>
      <c r="AH76" s="46">
        <f t="shared" si="208"/>
        <v>0</v>
      </c>
      <c r="AI76" s="46">
        <f t="shared" si="208"/>
        <v>0</v>
      </c>
      <c r="AJ76" s="46">
        <f t="shared" si="208"/>
        <v>0</v>
      </c>
      <c r="AK76" s="46">
        <f t="shared" si="208"/>
        <v>0</v>
      </c>
      <c r="AL76" s="46">
        <f t="shared" si="208"/>
        <v>0</v>
      </c>
      <c r="AM76" s="46">
        <f t="shared" si="208"/>
        <v>0</v>
      </c>
      <c r="AN76" s="46">
        <f t="shared" si="208"/>
        <v>0</v>
      </c>
      <c r="AO76" s="46">
        <f t="shared" si="208"/>
        <v>0</v>
      </c>
      <c r="AP76" s="46">
        <f t="shared" si="208"/>
        <v>0</v>
      </c>
      <c r="AQ76" s="46">
        <f t="shared" si="208"/>
        <v>0</v>
      </c>
      <c r="AR76" s="46">
        <f t="shared" si="208"/>
        <v>0</v>
      </c>
    </row>
    <row r="77" spans="1:44" s="3" customFormat="1" x14ac:dyDescent="0.35">
      <c r="A77" s="93"/>
      <c r="C77" s="75"/>
      <c r="D77" s="87" t="s">
        <v>51</v>
      </c>
      <c r="E77" s="143">
        <f t="shared" ref="E77:AK77" si="209">+E6</f>
        <v>0.05</v>
      </c>
      <c r="F77" s="143">
        <f t="shared" si="209"/>
        <v>0.04</v>
      </c>
      <c r="G77" s="70">
        <f t="shared" si="209"/>
        <v>3.5000000000000003E-2</v>
      </c>
      <c r="H77" s="70">
        <f t="shared" si="209"/>
        <v>2.5000000000000001E-2</v>
      </c>
      <c r="I77" s="70">
        <f t="shared" si="209"/>
        <v>2.2499999999999999E-2</v>
      </c>
      <c r="J77" s="70">
        <f t="shared" si="209"/>
        <v>0.02</v>
      </c>
      <c r="K77" s="70">
        <f t="shared" si="209"/>
        <v>0.02</v>
      </c>
      <c r="L77" s="70">
        <f t="shared" si="209"/>
        <v>0.02</v>
      </c>
      <c r="M77" s="70">
        <f t="shared" si="209"/>
        <v>0.02</v>
      </c>
      <c r="N77" s="70">
        <f t="shared" si="209"/>
        <v>0.02</v>
      </c>
      <c r="O77" s="70">
        <f t="shared" si="209"/>
        <v>0.02</v>
      </c>
      <c r="P77" s="70">
        <f t="shared" si="209"/>
        <v>0.02</v>
      </c>
      <c r="Q77" s="70">
        <f t="shared" si="209"/>
        <v>0.02</v>
      </c>
      <c r="R77" s="70">
        <f t="shared" si="209"/>
        <v>0.02</v>
      </c>
      <c r="S77" s="70">
        <f t="shared" si="209"/>
        <v>0.02</v>
      </c>
      <c r="T77" s="70">
        <f t="shared" si="209"/>
        <v>0.02</v>
      </c>
      <c r="U77" s="70">
        <f t="shared" si="209"/>
        <v>0.02</v>
      </c>
      <c r="V77" s="70">
        <f t="shared" si="209"/>
        <v>0.02</v>
      </c>
      <c r="W77" s="70">
        <f t="shared" si="209"/>
        <v>0.02</v>
      </c>
      <c r="X77" s="70">
        <f t="shared" si="209"/>
        <v>0.02</v>
      </c>
      <c r="Y77" s="70">
        <f t="shared" si="209"/>
        <v>0.02</v>
      </c>
      <c r="Z77" s="70">
        <f t="shared" si="209"/>
        <v>0.02</v>
      </c>
      <c r="AA77" s="70">
        <f t="shared" si="209"/>
        <v>0.02</v>
      </c>
      <c r="AB77" s="70">
        <f t="shared" si="209"/>
        <v>0.02</v>
      </c>
      <c r="AC77" s="70">
        <f t="shared" si="209"/>
        <v>0.02</v>
      </c>
      <c r="AD77" s="70">
        <f t="shared" si="209"/>
        <v>0.02</v>
      </c>
      <c r="AE77" s="70">
        <f t="shared" si="209"/>
        <v>0.02</v>
      </c>
      <c r="AF77" s="70">
        <f t="shared" si="209"/>
        <v>0.02</v>
      </c>
      <c r="AG77" s="70">
        <f t="shared" si="209"/>
        <v>0.02</v>
      </c>
      <c r="AH77" s="70">
        <f t="shared" si="209"/>
        <v>0.02</v>
      </c>
      <c r="AI77" s="70">
        <f t="shared" si="209"/>
        <v>0.02</v>
      </c>
      <c r="AJ77" s="70">
        <f t="shared" si="209"/>
        <v>0.02</v>
      </c>
      <c r="AK77" s="70">
        <f t="shared" si="209"/>
        <v>0.02</v>
      </c>
      <c r="AL77" s="70">
        <f t="shared" ref="AL77:AR77" si="210">+AL6</f>
        <v>0.02</v>
      </c>
      <c r="AM77" s="70">
        <f t="shared" si="210"/>
        <v>0.02</v>
      </c>
      <c r="AN77" s="70">
        <f t="shared" si="210"/>
        <v>0.02</v>
      </c>
      <c r="AO77" s="70">
        <f t="shared" si="210"/>
        <v>0.02</v>
      </c>
      <c r="AP77" s="70">
        <f t="shared" si="210"/>
        <v>0.02</v>
      </c>
      <c r="AQ77" s="70">
        <f t="shared" si="210"/>
        <v>0.02</v>
      </c>
      <c r="AR77" s="70">
        <f t="shared" si="210"/>
        <v>0.02</v>
      </c>
    </row>
    <row r="78" spans="1:44" x14ac:dyDescent="0.35">
      <c r="A78" s="9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 x14ac:dyDescent="0.35">
      <c r="A79" s="92"/>
      <c r="C79" s="79" t="s">
        <v>36</v>
      </c>
      <c r="D79" s="85" t="s">
        <v>81</v>
      </c>
      <c r="E79" s="134">
        <v>340</v>
      </c>
      <c r="F79" s="134">
        <f t="shared" ref="F79:AR79" si="211">+E79*(1+E85)-(F81*(1+E85))</f>
        <v>357</v>
      </c>
      <c r="G79" s="42">
        <f t="shared" si="211"/>
        <v>371.28000000000003</v>
      </c>
      <c r="H79" s="42">
        <f t="shared" si="211"/>
        <v>384.27480000000003</v>
      </c>
      <c r="I79" s="42">
        <f t="shared" si="211"/>
        <v>393.88166999999999</v>
      </c>
      <c r="J79" s="42">
        <f t="shared" si="211"/>
        <v>0</v>
      </c>
      <c r="K79" s="42">
        <f t="shared" si="211"/>
        <v>0</v>
      </c>
      <c r="L79" s="42">
        <f t="shared" si="211"/>
        <v>0</v>
      </c>
      <c r="M79" s="42">
        <f t="shared" si="211"/>
        <v>0</v>
      </c>
      <c r="N79" s="42">
        <f t="shared" si="211"/>
        <v>0</v>
      </c>
      <c r="O79" s="42">
        <f t="shared" si="211"/>
        <v>0</v>
      </c>
      <c r="P79" s="42">
        <f t="shared" si="211"/>
        <v>0</v>
      </c>
      <c r="Q79" s="42">
        <f t="shared" si="211"/>
        <v>0</v>
      </c>
      <c r="R79" s="42">
        <f t="shared" si="211"/>
        <v>0</v>
      </c>
      <c r="S79" s="42">
        <f t="shared" si="211"/>
        <v>0</v>
      </c>
      <c r="T79" s="42">
        <f t="shared" si="211"/>
        <v>0</v>
      </c>
      <c r="U79" s="42">
        <f t="shared" si="211"/>
        <v>0</v>
      </c>
      <c r="V79" s="42">
        <f t="shared" si="211"/>
        <v>0</v>
      </c>
      <c r="W79" s="42">
        <f t="shared" si="211"/>
        <v>0</v>
      </c>
      <c r="X79" s="42">
        <f t="shared" si="211"/>
        <v>0</v>
      </c>
      <c r="Y79" s="42">
        <f t="shared" si="211"/>
        <v>0</v>
      </c>
      <c r="Z79" s="42">
        <f t="shared" si="211"/>
        <v>0</v>
      </c>
      <c r="AA79" s="42">
        <f t="shared" si="211"/>
        <v>0</v>
      </c>
      <c r="AB79" s="42">
        <f t="shared" si="211"/>
        <v>0</v>
      </c>
      <c r="AC79" s="42">
        <f t="shared" si="211"/>
        <v>0</v>
      </c>
      <c r="AD79" s="42">
        <f t="shared" si="211"/>
        <v>0</v>
      </c>
      <c r="AE79" s="42">
        <f t="shared" si="211"/>
        <v>0</v>
      </c>
      <c r="AF79" s="42">
        <f t="shared" si="211"/>
        <v>0</v>
      </c>
      <c r="AG79" s="42">
        <f t="shared" si="211"/>
        <v>0</v>
      </c>
      <c r="AH79" s="42">
        <f t="shared" si="211"/>
        <v>0</v>
      </c>
      <c r="AI79" s="42">
        <f t="shared" si="211"/>
        <v>0</v>
      </c>
      <c r="AJ79" s="42">
        <f t="shared" si="211"/>
        <v>0</v>
      </c>
      <c r="AK79" s="42">
        <f t="shared" si="211"/>
        <v>0</v>
      </c>
      <c r="AL79" s="42">
        <f t="shared" si="211"/>
        <v>0</v>
      </c>
      <c r="AM79" s="42">
        <f t="shared" si="211"/>
        <v>0</v>
      </c>
      <c r="AN79" s="42">
        <f t="shared" si="211"/>
        <v>0</v>
      </c>
      <c r="AO79" s="42">
        <f t="shared" si="211"/>
        <v>0</v>
      </c>
      <c r="AP79" s="42">
        <f t="shared" si="211"/>
        <v>0</v>
      </c>
      <c r="AQ79" s="42">
        <f t="shared" si="211"/>
        <v>0</v>
      </c>
      <c r="AR79" s="43">
        <f t="shared" si="211"/>
        <v>0</v>
      </c>
    </row>
    <row r="80" spans="1:44" x14ac:dyDescent="0.35">
      <c r="A80" s="92"/>
      <c r="C80" s="48" t="s">
        <v>84</v>
      </c>
      <c r="D80" s="49" t="s">
        <v>82</v>
      </c>
      <c r="E80" s="138">
        <v>379</v>
      </c>
      <c r="F80" s="138">
        <f t="shared" ref="F80:AR80" si="212">IF(E79&gt;0,+E80-(F81*E80/E79),0)</f>
        <v>379</v>
      </c>
      <c r="G80" s="46">
        <f t="shared" si="212"/>
        <v>379</v>
      </c>
      <c r="H80" s="46">
        <f t="shared" si="212"/>
        <v>379</v>
      </c>
      <c r="I80" s="46">
        <f t="shared" si="212"/>
        <v>379</v>
      </c>
      <c r="J80" s="46">
        <f t="shared" si="212"/>
        <v>5.6843418860808015E-14</v>
      </c>
      <c r="K80" s="46">
        <f t="shared" si="212"/>
        <v>0</v>
      </c>
      <c r="L80" s="46">
        <f t="shared" si="212"/>
        <v>0</v>
      </c>
      <c r="M80" s="46">
        <f t="shared" si="212"/>
        <v>0</v>
      </c>
      <c r="N80" s="46">
        <f t="shared" si="212"/>
        <v>0</v>
      </c>
      <c r="O80" s="46">
        <f t="shared" si="212"/>
        <v>0</v>
      </c>
      <c r="P80" s="46">
        <f t="shared" si="212"/>
        <v>0</v>
      </c>
      <c r="Q80" s="46">
        <f t="shared" si="212"/>
        <v>0</v>
      </c>
      <c r="R80" s="46">
        <f t="shared" si="212"/>
        <v>0</v>
      </c>
      <c r="S80" s="46">
        <f t="shared" si="212"/>
        <v>0</v>
      </c>
      <c r="T80" s="46">
        <f t="shared" si="212"/>
        <v>0</v>
      </c>
      <c r="U80" s="46">
        <f t="shared" si="212"/>
        <v>0</v>
      </c>
      <c r="V80" s="46">
        <f t="shared" si="212"/>
        <v>0</v>
      </c>
      <c r="W80" s="46">
        <f t="shared" si="212"/>
        <v>0</v>
      </c>
      <c r="X80" s="46">
        <f t="shared" si="212"/>
        <v>0</v>
      </c>
      <c r="Y80" s="46">
        <f t="shared" si="212"/>
        <v>0</v>
      </c>
      <c r="Z80" s="46">
        <f t="shared" si="212"/>
        <v>0</v>
      </c>
      <c r="AA80" s="46">
        <f t="shared" si="212"/>
        <v>0</v>
      </c>
      <c r="AB80" s="46">
        <f t="shared" si="212"/>
        <v>0</v>
      </c>
      <c r="AC80" s="46">
        <f t="shared" si="212"/>
        <v>0</v>
      </c>
      <c r="AD80" s="46">
        <f t="shared" si="212"/>
        <v>0</v>
      </c>
      <c r="AE80" s="46">
        <f t="shared" si="212"/>
        <v>0</v>
      </c>
      <c r="AF80" s="46">
        <f t="shared" si="212"/>
        <v>0</v>
      </c>
      <c r="AG80" s="46">
        <f t="shared" si="212"/>
        <v>0</v>
      </c>
      <c r="AH80" s="46">
        <f t="shared" si="212"/>
        <v>0</v>
      </c>
      <c r="AI80" s="46">
        <f t="shared" si="212"/>
        <v>0</v>
      </c>
      <c r="AJ80" s="46">
        <f t="shared" si="212"/>
        <v>0</v>
      </c>
      <c r="AK80" s="46">
        <f t="shared" si="212"/>
        <v>0</v>
      </c>
      <c r="AL80" s="46">
        <f t="shared" si="212"/>
        <v>0</v>
      </c>
      <c r="AM80" s="46">
        <f t="shared" si="212"/>
        <v>0</v>
      </c>
      <c r="AN80" s="46">
        <f t="shared" si="212"/>
        <v>0</v>
      </c>
      <c r="AO80" s="46">
        <f t="shared" si="212"/>
        <v>0</v>
      </c>
      <c r="AP80" s="46">
        <f t="shared" si="212"/>
        <v>0</v>
      </c>
      <c r="AQ80" s="46">
        <f t="shared" si="212"/>
        <v>0</v>
      </c>
      <c r="AR80" s="47">
        <f t="shared" si="212"/>
        <v>0</v>
      </c>
    </row>
    <row r="81" spans="1:44" x14ac:dyDescent="0.35">
      <c r="A81" s="92"/>
      <c r="C81" s="54"/>
      <c r="D81" s="49" t="s">
        <v>86</v>
      </c>
      <c r="E81" s="138"/>
      <c r="F81" s="141"/>
      <c r="G81" s="84"/>
      <c r="H81" s="84"/>
      <c r="I81" s="84"/>
      <c r="J81" s="84">
        <f>+I79</f>
        <v>393.88166999999999</v>
      </c>
      <c r="K81" s="84"/>
      <c r="L81" s="84"/>
      <c r="M81" s="84"/>
      <c r="N81" s="84"/>
      <c r="O81" s="84"/>
      <c r="P81" s="84"/>
      <c r="Q81" s="84"/>
      <c r="R81" s="84"/>
      <c r="S81" s="84">
        <f>+R79</f>
        <v>0</v>
      </c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</row>
    <row r="82" spans="1:44" x14ac:dyDescent="0.35">
      <c r="A82" s="92"/>
      <c r="C82" s="44"/>
      <c r="D82" s="45" t="s">
        <v>83</v>
      </c>
      <c r="E82" s="138"/>
      <c r="F82" s="138">
        <f>IF(E79&gt;0,+F81-(F81*E80/E79),+F81)</f>
        <v>0</v>
      </c>
      <c r="G82" s="46">
        <f>IF(F79&gt;0,+G81-(G81*F80/F79),+G81)</f>
        <v>0</v>
      </c>
      <c r="H82" s="46">
        <f t="shared" ref="H82" si="213">IF(G79&gt;0,+H81-(H81*G80/G79),+H81)</f>
        <v>0</v>
      </c>
      <c r="I82" s="46">
        <f t="shared" ref="I82" si="214">IF(H79&gt;0,+I81-(I81*H80/H79),+I81)</f>
        <v>0</v>
      </c>
      <c r="J82" s="46">
        <f t="shared" ref="J82" si="215">IF(I79&gt;0,+J81-(J81*I80/I79),+J81)</f>
        <v>14.881670000000042</v>
      </c>
      <c r="K82" s="46">
        <f t="shared" ref="K82" si="216">IF(J79&gt;0,+K81-(K81*J80/J79),+K81)</f>
        <v>0</v>
      </c>
      <c r="L82" s="46">
        <f t="shared" ref="L82" si="217">IF(K79&gt;0,+L81-(L81*K80/K79),+L81)</f>
        <v>0</v>
      </c>
      <c r="M82" s="46">
        <f t="shared" ref="M82" si="218">IF(L79&gt;0,+M81-(M81*L80/L79),+M81)</f>
        <v>0</v>
      </c>
      <c r="N82" s="46">
        <f t="shared" ref="N82" si="219">IF(M79&gt;0,+N81-(N81*M80/M79),+N81)</f>
        <v>0</v>
      </c>
      <c r="O82" s="46">
        <f t="shared" ref="O82" si="220">IF(N79&gt;0,+O81-(O81*N80/N79),+O81)</f>
        <v>0</v>
      </c>
      <c r="P82" s="46">
        <f t="shared" ref="P82" si="221">IF(O79&gt;0,+P81-(P81*O80/O79),+P81)</f>
        <v>0</v>
      </c>
      <c r="Q82" s="46">
        <f t="shared" ref="Q82" si="222">IF(P79&gt;0,+Q81-(Q81*P80/P79),+Q81)</f>
        <v>0</v>
      </c>
      <c r="R82" s="46">
        <f t="shared" ref="R82" si="223">IF(Q79&gt;0,+R81-(R81*Q80/Q79),+R81)</f>
        <v>0</v>
      </c>
      <c r="S82" s="46">
        <f t="shared" ref="S82" si="224">IF(R79&gt;0,+S81-(S81*R80/R79),+S81)</f>
        <v>0</v>
      </c>
      <c r="T82" s="46">
        <f t="shared" ref="T82" si="225">IF(S79&gt;0,+T81-(T81*S80/S79),+T81)</f>
        <v>0</v>
      </c>
      <c r="U82" s="46">
        <f t="shared" ref="U82" si="226">IF(T79&gt;0,+U81-(U81*T80/T79),+U81)</f>
        <v>0</v>
      </c>
      <c r="V82" s="46">
        <f t="shared" ref="V82" si="227">IF(U79&gt;0,+V81-(V81*U80/U79),+V81)</f>
        <v>0</v>
      </c>
      <c r="W82" s="46">
        <f t="shared" ref="W82" si="228">IF(V79&gt;0,+W81-(W81*V80/V79),+W81)</f>
        <v>0</v>
      </c>
      <c r="X82" s="46">
        <f t="shared" ref="X82" si="229">IF(W79&gt;0,+X81-(X81*W80/W79),+X81)</f>
        <v>0</v>
      </c>
      <c r="Y82" s="46">
        <f t="shared" ref="Y82" si="230">IF(X79&gt;0,+Y81-(Y81*X80/X79),+Y81)</f>
        <v>0</v>
      </c>
      <c r="Z82" s="46">
        <f t="shared" ref="Z82" si="231">IF(Y79&gt;0,+Z81-(Z81*Y80/Y79),+Z81)</f>
        <v>0</v>
      </c>
      <c r="AA82" s="46">
        <f t="shared" ref="AA82" si="232">IF(Z79&gt;0,+AA81-(AA81*Z80/Z79),+AA81)</f>
        <v>0</v>
      </c>
      <c r="AB82" s="46">
        <f t="shared" ref="AB82" si="233">IF(AA79&gt;0,+AB81-(AB81*AA80/AA79),+AB81)</f>
        <v>0</v>
      </c>
      <c r="AC82" s="46">
        <f t="shared" ref="AC82" si="234">IF(AB79&gt;0,+AC81-(AC81*AB80/AB79),+AC81)</f>
        <v>0</v>
      </c>
      <c r="AD82" s="46">
        <f t="shared" ref="AD82" si="235">IF(AC79&gt;0,+AD81-(AD81*AC80/AC79),+AD81)</f>
        <v>0</v>
      </c>
      <c r="AE82" s="46">
        <f t="shared" ref="AE82" si="236">IF(AD79&gt;0,+AE81-(AE81*AD80/AD79),+AE81)</f>
        <v>0</v>
      </c>
      <c r="AF82" s="46">
        <f t="shared" ref="AF82" si="237">IF(AE79&gt;0,+AF81-(AF81*AE80/AE79),+AF81)</f>
        <v>0</v>
      </c>
      <c r="AG82" s="46">
        <f t="shared" ref="AG82" si="238">IF(AF79&gt;0,+AG81-(AG81*AF80/AF79),+AG81)</f>
        <v>0</v>
      </c>
      <c r="AH82" s="46">
        <f t="shared" ref="AH82" si="239">IF(AG79&gt;0,+AH81-(AH81*AG80/AG79),+AH81)</f>
        <v>0</v>
      </c>
      <c r="AI82" s="46">
        <f t="shared" ref="AI82" si="240">IF(AH79&gt;0,+AI81-(AI81*AH80/AH79),+AI81)</f>
        <v>0</v>
      </c>
      <c r="AJ82" s="46">
        <f t="shared" ref="AJ82" si="241">IF(AI79&gt;0,+AJ81-(AJ81*AI80/AI79),+AJ81)</f>
        <v>0</v>
      </c>
      <c r="AK82" s="46">
        <f t="shared" ref="AK82:AR82" si="242">IF(AJ79&gt;0,+AK81-(AK81*AJ80/AJ79),+AK81)</f>
        <v>0</v>
      </c>
      <c r="AL82" s="46">
        <f t="shared" si="242"/>
        <v>0</v>
      </c>
      <c r="AM82" s="46">
        <f t="shared" si="242"/>
        <v>0</v>
      </c>
      <c r="AN82" s="46">
        <f t="shared" si="242"/>
        <v>0</v>
      </c>
      <c r="AO82" s="46">
        <f t="shared" si="242"/>
        <v>0</v>
      </c>
      <c r="AP82" s="46">
        <f t="shared" si="242"/>
        <v>0</v>
      </c>
      <c r="AQ82" s="46">
        <f t="shared" si="242"/>
        <v>0</v>
      </c>
      <c r="AR82" s="47">
        <f t="shared" si="242"/>
        <v>0</v>
      </c>
    </row>
    <row r="83" spans="1:44" x14ac:dyDescent="0.35">
      <c r="A83" s="92"/>
      <c r="C83" s="54"/>
      <c r="D83" s="45" t="s">
        <v>1</v>
      </c>
      <c r="E83" s="138"/>
      <c r="F83" s="138">
        <f>IF(E82&gt;0,+E82*0.25,0)</f>
        <v>0</v>
      </c>
      <c r="G83" s="46">
        <f t="shared" ref="G83:AR83" si="243">IF(F82&gt;0,+F82*0.25,0)</f>
        <v>0</v>
      </c>
      <c r="H83" s="46">
        <f t="shared" si="243"/>
        <v>0</v>
      </c>
      <c r="I83" s="46">
        <f t="shared" si="243"/>
        <v>0</v>
      </c>
      <c r="J83" s="46">
        <f t="shared" si="243"/>
        <v>0</v>
      </c>
      <c r="K83" s="46">
        <f t="shared" si="243"/>
        <v>3.7204175000000106</v>
      </c>
      <c r="L83" s="46">
        <f t="shared" si="243"/>
        <v>0</v>
      </c>
      <c r="M83" s="46">
        <f t="shared" si="243"/>
        <v>0</v>
      </c>
      <c r="N83" s="46">
        <f t="shared" si="243"/>
        <v>0</v>
      </c>
      <c r="O83" s="46">
        <f t="shared" si="243"/>
        <v>0</v>
      </c>
      <c r="P83" s="46">
        <f t="shared" si="243"/>
        <v>0</v>
      </c>
      <c r="Q83" s="46">
        <f t="shared" si="243"/>
        <v>0</v>
      </c>
      <c r="R83" s="46">
        <f t="shared" si="243"/>
        <v>0</v>
      </c>
      <c r="S83" s="46">
        <f t="shared" si="243"/>
        <v>0</v>
      </c>
      <c r="T83" s="46">
        <f t="shared" si="243"/>
        <v>0</v>
      </c>
      <c r="U83" s="46">
        <f t="shared" si="243"/>
        <v>0</v>
      </c>
      <c r="V83" s="46">
        <f t="shared" si="243"/>
        <v>0</v>
      </c>
      <c r="W83" s="46">
        <f t="shared" si="243"/>
        <v>0</v>
      </c>
      <c r="X83" s="46">
        <f t="shared" si="243"/>
        <v>0</v>
      </c>
      <c r="Y83" s="46">
        <f t="shared" si="243"/>
        <v>0</v>
      </c>
      <c r="Z83" s="46">
        <f t="shared" si="243"/>
        <v>0</v>
      </c>
      <c r="AA83" s="46">
        <f t="shared" si="243"/>
        <v>0</v>
      </c>
      <c r="AB83" s="46">
        <f t="shared" si="243"/>
        <v>0</v>
      </c>
      <c r="AC83" s="46">
        <f t="shared" si="243"/>
        <v>0</v>
      </c>
      <c r="AD83" s="46">
        <f t="shared" si="243"/>
        <v>0</v>
      </c>
      <c r="AE83" s="46">
        <f t="shared" si="243"/>
        <v>0</v>
      </c>
      <c r="AF83" s="46">
        <f t="shared" si="243"/>
        <v>0</v>
      </c>
      <c r="AG83" s="46">
        <f t="shared" si="243"/>
        <v>0</v>
      </c>
      <c r="AH83" s="46">
        <f t="shared" si="243"/>
        <v>0</v>
      </c>
      <c r="AI83" s="46">
        <f t="shared" si="243"/>
        <v>0</v>
      </c>
      <c r="AJ83" s="46">
        <f t="shared" si="243"/>
        <v>0</v>
      </c>
      <c r="AK83" s="46">
        <f t="shared" si="243"/>
        <v>0</v>
      </c>
      <c r="AL83" s="46">
        <f t="shared" si="243"/>
        <v>0</v>
      </c>
      <c r="AM83" s="46">
        <f t="shared" si="243"/>
        <v>0</v>
      </c>
      <c r="AN83" s="46">
        <f t="shared" si="243"/>
        <v>0</v>
      </c>
      <c r="AO83" s="46">
        <f t="shared" si="243"/>
        <v>0</v>
      </c>
      <c r="AP83" s="46">
        <f t="shared" si="243"/>
        <v>0</v>
      </c>
      <c r="AQ83" s="46">
        <f t="shared" si="243"/>
        <v>0</v>
      </c>
      <c r="AR83" s="47">
        <f t="shared" si="243"/>
        <v>0</v>
      </c>
    </row>
    <row r="84" spans="1:44" x14ac:dyDescent="0.35">
      <c r="A84" s="92"/>
      <c r="C84" s="54"/>
      <c r="D84" s="45" t="s">
        <v>62</v>
      </c>
      <c r="E84" s="138">
        <v>4</v>
      </c>
      <c r="F84" s="138">
        <f>IF(F79&gt;0,+E84*(1+F$6),0)</f>
        <v>4.16</v>
      </c>
      <c r="G84" s="46">
        <f>IF(G79&gt;0,+F84*(1+G$6),+IF(G81&gt;0,+F84*(1+G$6)/2,0))</f>
        <v>4.3056000000000001</v>
      </c>
      <c r="H84" s="46">
        <f>IF(H79&gt;0,+G84*(1+H$6),+IF(H81&gt;0,+G84*(1+H$6)/2,0))</f>
        <v>4.4132400000000001</v>
      </c>
      <c r="I84" s="46">
        <f t="shared" ref="I84:AR84" si="244">IF(I79&gt;0,+H84*(1+I$6),+IF(I81&gt;0,+H84*(1+I$6)/2,0))</f>
        <v>4.5125378999999999</v>
      </c>
      <c r="J84" s="46">
        <f t="shared" si="244"/>
        <v>2.3013943289999998</v>
      </c>
      <c r="K84" s="46">
        <f t="shared" si="244"/>
        <v>0</v>
      </c>
      <c r="L84" s="46">
        <f t="shared" si="244"/>
        <v>0</v>
      </c>
      <c r="M84" s="46">
        <f t="shared" si="244"/>
        <v>0</v>
      </c>
      <c r="N84" s="46">
        <f t="shared" si="244"/>
        <v>0</v>
      </c>
      <c r="O84" s="46">
        <f t="shared" si="244"/>
        <v>0</v>
      </c>
      <c r="P84" s="46">
        <f t="shared" si="244"/>
        <v>0</v>
      </c>
      <c r="Q84" s="46">
        <f t="shared" si="244"/>
        <v>0</v>
      </c>
      <c r="R84" s="46">
        <f t="shared" si="244"/>
        <v>0</v>
      </c>
      <c r="S84" s="46">
        <f t="shared" si="244"/>
        <v>0</v>
      </c>
      <c r="T84" s="46">
        <f t="shared" si="244"/>
        <v>0</v>
      </c>
      <c r="U84" s="46">
        <f t="shared" si="244"/>
        <v>0</v>
      </c>
      <c r="V84" s="46">
        <f t="shared" si="244"/>
        <v>0</v>
      </c>
      <c r="W84" s="46">
        <f t="shared" si="244"/>
        <v>0</v>
      </c>
      <c r="X84" s="46">
        <f t="shared" si="244"/>
        <v>0</v>
      </c>
      <c r="Y84" s="46">
        <f t="shared" si="244"/>
        <v>0</v>
      </c>
      <c r="Z84" s="46">
        <f t="shared" si="244"/>
        <v>0</v>
      </c>
      <c r="AA84" s="46">
        <f t="shared" si="244"/>
        <v>0</v>
      </c>
      <c r="AB84" s="46">
        <f t="shared" si="244"/>
        <v>0</v>
      </c>
      <c r="AC84" s="46">
        <f t="shared" si="244"/>
        <v>0</v>
      </c>
      <c r="AD84" s="46">
        <f t="shared" si="244"/>
        <v>0</v>
      </c>
      <c r="AE84" s="46">
        <f t="shared" si="244"/>
        <v>0</v>
      </c>
      <c r="AF84" s="46">
        <f t="shared" si="244"/>
        <v>0</v>
      </c>
      <c r="AG84" s="46">
        <f t="shared" si="244"/>
        <v>0</v>
      </c>
      <c r="AH84" s="46">
        <f t="shared" si="244"/>
        <v>0</v>
      </c>
      <c r="AI84" s="46">
        <f t="shared" si="244"/>
        <v>0</v>
      </c>
      <c r="AJ84" s="46">
        <f t="shared" si="244"/>
        <v>0</v>
      </c>
      <c r="AK84" s="46">
        <f t="shared" si="244"/>
        <v>0</v>
      </c>
      <c r="AL84" s="46">
        <f t="shared" si="244"/>
        <v>0</v>
      </c>
      <c r="AM84" s="46">
        <f t="shared" si="244"/>
        <v>0</v>
      </c>
      <c r="AN84" s="46">
        <f t="shared" si="244"/>
        <v>0</v>
      </c>
      <c r="AO84" s="46">
        <f t="shared" si="244"/>
        <v>0</v>
      </c>
      <c r="AP84" s="46">
        <f t="shared" si="244"/>
        <v>0</v>
      </c>
      <c r="AQ84" s="46">
        <f t="shared" si="244"/>
        <v>0</v>
      </c>
      <c r="AR84" s="46">
        <f t="shared" si="244"/>
        <v>0</v>
      </c>
    </row>
    <row r="85" spans="1:44" s="3" customFormat="1" x14ac:dyDescent="0.35">
      <c r="A85" s="93"/>
      <c r="C85" s="75"/>
      <c r="D85" s="87" t="s">
        <v>51</v>
      </c>
      <c r="E85" s="143">
        <f t="shared" ref="E85:AK85" si="245">+E6</f>
        <v>0.05</v>
      </c>
      <c r="F85" s="143">
        <f t="shared" si="245"/>
        <v>0.04</v>
      </c>
      <c r="G85" s="70">
        <f t="shared" si="245"/>
        <v>3.5000000000000003E-2</v>
      </c>
      <c r="H85" s="70">
        <f t="shared" si="245"/>
        <v>2.5000000000000001E-2</v>
      </c>
      <c r="I85" s="70">
        <f t="shared" si="245"/>
        <v>2.2499999999999999E-2</v>
      </c>
      <c r="J85" s="70">
        <f t="shared" si="245"/>
        <v>0.02</v>
      </c>
      <c r="K85" s="70">
        <f t="shared" si="245"/>
        <v>0.02</v>
      </c>
      <c r="L85" s="70">
        <f t="shared" si="245"/>
        <v>0.02</v>
      </c>
      <c r="M85" s="70">
        <f t="shared" si="245"/>
        <v>0.02</v>
      </c>
      <c r="N85" s="70">
        <f t="shared" si="245"/>
        <v>0.02</v>
      </c>
      <c r="O85" s="70">
        <f t="shared" si="245"/>
        <v>0.02</v>
      </c>
      <c r="P85" s="70">
        <f t="shared" si="245"/>
        <v>0.02</v>
      </c>
      <c r="Q85" s="70">
        <f t="shared" si="245"/>
        <v>0.02</v>
      </c>
      <c r="R85" s="70">
        <f t="shared" si="245"/>
        <v>0.02</v>
      </c>
      <c r="S85" s="70">
        <f t="shared" si="245"/>
        <v>0.02</v>
      </c>
      <c r="T85" s="70">
        <f t="shared" si="245"/>
        <v>0.02</v>
      </c>
      <c r="U85" s="70">
        <f t="shared" si="245"/>
        <v>0.02</v>
      </c>
      <c r="V85" s="70">
        <f t="shared" si="245"/>
        <v>0.02</v>
      </c>
      <c r="W85" s="70">
        <f t="shared" si="245"/>
        <v>0.02</v>
      </c>
      <c r="X85" s="70">
        <f t="shared" si="245"/>
        <v>0.02</v>
      </c>
      <c r="Y85" s="70">
        <f t="shared" si="245"/>
        <v>0.02</v>
      </c>
      <c r="Z85" s="70">
        <f t="shared" si="245"/>
        <v>0.02</v>
      </c>
      <c r="AA85" s="70">
        <f t="shared" si="245"/>
        <v>0.02</v>
      </c>
      <c r="AB85" s="70">
        <f t="shared" si="245"/>
        <v>0.02</v>
      </c>
      <c r="AC85" s="70">
        <f t="shared" si="245"/>
        <v>0.02</v>
      </c>
      <c r="AD85" s="70">
        <f t="shared" si="245"/>
        <v>0.02</v>
      </c>
      <c r="AE85" s="70">
        <f t="shared" si="245"/>
        <v>0.02</v>
      </c>
      <c r="AF85" s="70">
        <f t="shared" si="245"/>
        <v>0.02</v>
      </c>
      <c r="AG85" s="70">
        <f t="shared" si="245"/>
        <v>0.02</v>
      </c>
      <c r="AH85" s="70">
        <f t="shared" si="245"/>
        <v>0.02</v>
      </c>
      <c r="AI85" s="70">
        <f t="shared" si="245"/>
        <v>0.02</v>
      </c>
      <c r="AJ85" s="70">
        <f t="shared" si="245"/>
        <v>0.02</v>
      </c>
      <c r="AK85" s="70">
        <f t="shared" si="245"/>
        <v>0.02</v>
      </c>
      <c r="AL85" s="70">
        <f t="shared" ref="AL85:AR85" si="246">+AL6</f>
        <v>0.02</v>
      </c>
      <c r="AM85" s="70">
        <f t="shared" si="246"/>
        <v>0.02</v>
      </c>
      <c r="AN85" s="70">
        <f t="shared" si="246"/>
        <v>0.02</v>
      </c>
      <c r="AO85" s="70">
        <f t="shared" si="246"/>
        <v>0.02</v>
      </c>
      <c r="AP85" s="70">
        <f t="shared" si="246"/>
        <v>0.02</v>
      </c>
      <c r="AQ85" s="70">
        <f t="shared" si="246"/>
        <v>0.02</v>
      </c>
      <c r="AR85" s="71">
        <f t="shared" si="246"/>
        <v>0.02</v>
      </c>
    </row>
    <row r="86" spans="1:44" x14ac:dyDescent="0.35">
      <c r="A86" s="9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 x14ac:dyDescent="0.35">
      <c r="A87" s="92"/>
      <c r="C87" s="79" t="s">
        <v>37</v>
      </c>
      <c r="D87" s="85" t="s">
        <v>81</v>
      </c>
      <c r="E87" s="134">
        <v>360</v>
      </c>
      <c r="F87" s="134">
        <f>+E87*(1+E94)-(F89*(1+E94))</f>
        <v>378</v>
      </c>
      <c r="G87" s="42">
        <f t="shared" ref="G87:AR87" si="247">+F87*(1+F94)-(G89*(1+F94))</f>
        <v>393.12</v>
      </c>
      <c r="H87" s="42">
        <f t="shared" si="247"/>
        <v>0</v>
      </c>
      <c r="I87" s="42">
        <f t="shared" si="247"/>
        <v>0</v>
      </c>
      <c r="J87" s="42">
        <f t="shared" si="247"/>
        <v>0</v>
      </c>
      <c r="K87" s="42">
        <f t="shared" si="247"/>
        <v>0</v>
      </c>
      <c r="L87" s="42">
        <f t="shared" si="247"/>
        <v>0</v>
      </c>
      <c r="M87" s="42">
        <f t="shared" si="247"/>
        <v>0</v>
      </c>
      <c r="N87" s="42">
        <f t="shared" si="247"/>
        <v>0</v>
      </c>
      <c r="O87" s="42">
        <f t="shared" si="247"/>
        <v>0</v>
      </c>
      <c r="P87" s="42">
        <f t="shared" si="247"/>
        <v>0</v>
      </c>
      <c r="Q87" s="42">
        <f t="shared" si="247"/>
        <v>0</v>
      </c>
      <c r="R87" s="42">
        <f t="shared" si="247"/>
        <v>0</v>
      </c>
      <c r="S87" s="42">
        <f t="shared" si="247"/>
        <v>0</v>
      </c>
      <c r="T87" s="42">
        <f t="shared" si="247"/>
        <v>0</v>
      </c>
      <c r="U87" s="42">
        <f t="shared" si="247"/>
        <v>0</v>
      </c>
      <c r="V87" s="42">
        <f t="shared" si="247"/>
        <v>0</v>
      </c>
      <c r="W87" s="42">
        <f t="shared" si="247"/>
        <v>0</v>
      </c>
      <c r="X87" s="42">
        <f t="shared" si="247"/>
        <v>0</v>
      </c>
      <c r="Y87" s="42">
        <f t="shared" si="247"/>
        <v>0</v>
      </c>
      <c r="Z87" s="42">
        <f t="shared" si="247"/>
        <v>0</v>
      </c>
      <c r="AA87" s="42">
        <f t="shared" si="247"/>
        <v>0</v>
      </c>
      <c r="AB87" s="42">
        <f t="shared" si="247"/>
        <v>0</v>
      </c>
      <c r="AC87" s="42">
        <f t="shared" si="247"/>
        <v>0</v>
      </c>
      <c r="AD87" s="42">
        <f t="shared" si="247"/>
        <v>0</v>
      </c>
      <c r="AE87" s="42">
        <f t="shared" si="247"/>
        <v>0</v>
      </c>
      <c r="AF87" s="42">
        <f t="shared" si="247"/>
        <v>0</v>
      </c>
      <c r="AG87" s="42">
        <f t="shared" si="247"/>
        <v>0</v>
      </c>
      <c r="AH87" s="42">
        <f t="shared" si="247"/>
        <v>0</v>
      </c>
      <c r="AI87" s="42">
        <f t="shared" si="247"/>
        <v>0</v>
      </c>
      <c r="AJ87" s="42">
        <f t="shared" si="247"/>
        <v>0</v>
      </c>
      <c r="AK87" s="42">
        <f t="shared" si="247"/>
        <v>0</v>
      </c>
      <c r="AL87" s="42">
        <f t="shared" si="247"/>
        <v>0</v>
      </c>
      <c r="AM87" s="42">
        <f t="shared" si="247"/>
        <v>0</v>
      </c>
      <c r="AN87" s="42">
        <f t="shared" si="247"/>
        <v>0</v>
      </c>
      <c r="AO87" s="42">
        <f t="shared" si="247"/>
        <v>0</v>
      </c>
      <c r="AP87" s="42">
        <f t="shared" si="247"/>
        <v>0</v>
      </c>
      <c r="AQ87" s="42">
        <f t="shared" si="247"/>
        <v>0</v>
      </c>
      <c r="AR87" s="43">
        <f t="shared" si="247"/>
        <v>0</v>
      </c>
    </row>
    <row r="88" spans="1:44" x14ac:dyDescent="0.35">
      <c r="A88" s="92"/>
      <c r="C88" s="48" t="s">
        <v>84</v>
      </c>
      <c r="D88" s="49" t="s">
        <v>82</v>
      </c>
      <c r="E88" s="138">
        <v>350</v>
      </c>
      <c r="F88" s="138">
        <f>IF(E87&gt;0,+E88-(F89*E88/E87),0)</f>
        <v>350</v>
      </c>
      <c r="G88" s="46">
        <f t="shared" ref="G88:AR88" si="248">IF(F87&gt;0,+F88-(G89*F88/F87),0)</f>
        <v>350</v>
      </c>
      <c r="H88" s="46">
        <f t="shared" si="248"/>
        <v>0</v>
      </c>
      <c r="I88" s="46">
        <f t="shared" si="248"/>
        <v>0</v>
      </c>
      <c r="J88" s="46">
        <f t="shared" si="248"/>
        <v>0</v>
      </c>
      <c r="K88" s="46">
        <f t="shared" si="248"/>
        <v>0</v>
      </c>
      <c r="L88" s="46">
        <f t="shared" si="248"/>
        <v>0</v>
      </c>
      <c r="M88" s="46">
        <f t="shared" si="248"/>
        <v>0</v>
      </c>
      <c r="N88" s="46">
        <f t="shared" si="248"/>
        <v>0</v>
      </c>
      <c r="O88" s="46">
        <f t="shared" si="248"/>
        <v>0</v>
      </c>
      <c r="P88" s="46">
        <f t="shared" si="248"/>
        <v>0</v>
      </c>
      <c r="Q88" s="46">
        <f t="shared" si="248"/>
        <v>0</v>
      </c>
      <c r="R88" s="46">
        <f t="shared" si="248"/>
        <v>0</v>
      </c>
      <c r="S88" s="46">
        <f t="shared" si="248"/>
        <v>0</v>
      </c>
      <c r="T88" s="46">
        <f t="shared" si="248"/>
        <v>0</v>
      </c>
      <c r="U88" s="46">
        <f t="shared" si="248"/>
        <v>0</v>
      </c>
      <c r="V88" s="46">
        <f t="shared" si="248"/>
        <v>0</v>
      </c>
      <c r="W88" s="46">
        <f t="shared" si="248"/>
        <v>0</v>
      </c>
      <c r="X88" s="46">
        <f t="shared" si="248"/>
        <v>0</v>
      </c>
      <c r="Y88" s="46">
        <f t="shared" si="248"/>
        <v>0</v>
      </c>
      <c r="Z88" s="46">
        <f t="shared" si="248"/>
        <v>0</v>
      </c>
      <c r="AA88" s="46">
        <f t="shared" si="248"/>
        <v>0</v>
      </c>
      <c r="AB88" s="46">
        <f t="shared" si="248"/>
        <v>0</v>
      </c>
      <c r="AC88" s="46">
        <f t="shared" si="248"/>
        <v>0</v>
      </c>
      <c r="AD88" s="46">
        <f t="shared" si="248"/>
        <v>0</v>
      </c>
      <c r="AE88" s="46">
        <f t="shared" si="248"/>
        <v>0</v>
      </c>
      <c r="AF88" s="46">
        <f t="shared" si="248"/>
        <v>0</v>
      </c>
      <c r="AG88" s="46">
        <f t="shared" si="248"/>
        <v>0</v>
      </c>
      <c r="AH88" s="46">
        <f t="shared" si="248"/>
        <v>0</v>
      </c>
      <c r="AI88" s="46">
        <f t="shared" si="248"/>
        <v>0</v>
      </c>
      <c r="AJ88" s="46">
        <f t="shared" si="248"/>
        <v>0</v>
      </c>
      <c r="AK88" s="46">
        <f t="shared" si="248"/>
        <v>0</v>
      </c>
      <c r="AL88" s="46">
        <f t="shared" si="248"/>
        <v>0</v>
      </c>
      <c r="AM88" s="46">
        <f t="shared" si="248"/>
        <v>0</v>
      </c>
      <c r="AN88" s="46">
        <f t="shared" si="248"/>
        <v>0</v>
      </c>
      <c r="AO88" s="46">
        <f t="shared" si="248"/>
        <v>0</v>
      </c>
      <c r="AP88" s="46">
        <f t="shared" si="248"/>
        <v>0</v>
      </c>
      <c r="AQ88" s="46">
        <f t="shared" si="248"/>
        <v>0</v>
      </c>
      <c r="AR88" s="47">
        <f t="shared" si="248"/>
        <v>0</v>
      </c>
    </row>
    <row r="89" spans="1:44" x14ac:dyDescent="0.35">
      <c r="A89" s="92"/>
      <c r="C89" s="54"/>
      <c r="D89" s="49" t="s">
        <v>86</v>
      </c>
      <c r="E89" s="138"/>
      <c r="F89" s="141"/>
      <c r="G89" s="84"/>
      <c r="H89" s="84">
        <f>+G87</f>
        <v>393.12</v>
      </c>
      <c r="I89" s="84"/>
      <c r="J89" s="84"/>
      <c r="K89" s="84">
        <f>+J87</f>
        <v>0</v>
      </c>
      <c r="L89" s="84"/>
      <c r="M89" s="84"/>
      <c r="N89" s="84"/>
      <c r="O89" s="84"/>
      <c r="P89" s="84"/>
      <c r="Q89" s="84"/>
      <c r="R89" s="84"/>
      <c r="S89" s="84"/>
      <c r="T89" s="84"/>
      <c r="U89" s="84">
        <f>+T87</f>
        <v>0</v>
      </c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</row>
    <row r="90" spans="1:44" x14ac:dyDescent="0.35">
      <c r="A90" s="92"/>
      <c r="C90" s="54"/>
      <c r="D90" s="45" t="s">
        <v>83</v>
      </c>
      <c r="E90" s="138"/>
      <c r="F90" s="138">
        <f>IF(E87&gt;0,+F89-(F89*E88/E87),+F89)</f>
        <v>0</v>
      </c>
      <c r="G90" s="46">
        <f t="shared" ref="G90:AR90" si="249">IF(F87&gt;0,+G89-(G89*F88/F87),+G89)</f>
        <v>0</v>
      </c>
      <c r="H90" s="46">
        <f t="shared" si="249"/>
        <v>43.120000000000005</v>
      </c>
      <c r="I90" s="46">
        <f t="shared" si="249"/>
        <v>0</v>
      </c>
      <c r="J90" s="46">
        <f t="shared" si="249"/>
        <v>0</v>
      </c>
      <c r="K90" s="46">
        <f t="shared" si="249"/>
        <v>0</v>
      </c>
      <c r="L90" s="46">
        <f t="shared" si="249"/>
        <v>0</v>
      </c>
      <c r="M90" s="46">
        <f t="shared" si="249"/>
        <v>0</v>
      </c>
      <c r="N90" s="46">
        <f t="shared" si="249"/>
        <v>0</v>
      </c>
      <c r="O90" s="46">
        <f t="shared" si="249"/>
        <v>0</v>
      </c>
      <c r="P90" s="46">
        <f t="shared" si="249"/>
        <v>0</v>
      </c>
      <c r="Q90" s="46">
        <f t="shared" si="249"/>
        <v>0</v>
      </c>
      <c r="R90" s="46">
        <f t="shared" si="249"/>
        <v>0</v>
      </c>
      <c r="S90" s="46">
        <f t="shared" si="249"/>
        <v>0</v>
      </c>
      <c r="T90" s="46">
        <f t="shared" si="249"/>
        <v>0</v>
      </c>
      <c r="U90" s="46">
        <f t="shared" si="249"/>
        <v>0</v>
      </c>
      <c r="V90" s="46">
        <f t="shared" si="249"/>
        <v>0</v>
      </c>
      <c r="W90" s="46">
        <f t="shared" si="249"/>
        <v>0</v>
      </c>
      <c r="X90" s="46">
        <f t="shared" si="249"/>
        <v>0</v>
      </c>
      <c r="Y90" s="46">
        <f t="shared" si="249"/>
        <v>0</v>
      </c>
      <c r="Z90" s="46">
        <f t="shared" si="249"/>
        <v>0</v>
      </c>
      <c r="AA90" s="46">
        <f t="shared" si="249"/>
        <v>0</v>
      </c>
      <c r="AB90" s="46">
        <f t="shared" si="249"/>
        <v>0</v>
      </c>
      <c r="AC90" s="46">
        <f t="shared" si="249"/>
        <v>0</v>
      </c>
      <c r="AD90" s="46">
        <f t="shared" si="249"/>
        <v>0</v>
      </c>
      <c r="AE90" s="46">
        <f t="shared" si="249"/>
        <v>0</v>
      </c>
      <c r="AF90" s="46">
        <f t="shared" si="249"/>
        <v>0</v>
      </c>
      <c r="AG90" s="46">
        <f t="shared" si="249"/>
        <v>0</v>
      </c>
      <c r="AH90" s="46">
        <f t="shared" si="249"/>
        <v>0</v>
      </c>
      <c r="AI90" s="46">
        <f t="shared" si="249"/>
        <v>0</v>
      </c>
      <c r="AJ90" s="46">
        <f t="shared" si="249"/>
        <v>0</v>
      </c>
      <c r="AK90" s="46">
        <f t="shared" si="249"/>
        <v>0</v>
      </c>
      <c r="AL90" s="46">
        <f t="shared" si="249"/>
        <v>0</v>
      </c>
      <c r="AM90" s="46">
        <f t="shared" si="249"/>
        <v>0</v>
      </c>
      <c r="AN90" s="46">
        <f t="shared" si="249"/>
        <v>0</v>
      </c>
      <c r="AO90" s="46">
        <f t="shared" si="249"/>
        <v>0</v>
      </c>
      <c r="AP90" s="46">
        <f t="shared" si="249"/>
        <v>0</v>
      </c>
      <c r="AQ90" s="46">
        <f t="shared" si="249"/>
        <v>0</v>
      </c>
      <c r="AR90" s="47">
        <f t="shared" si="249"/>
        <v>0</v>
      </c>
    </row>
    <row r="91" spans="1:44" x14ac:dyDescent="0.35">
      <c r="A91" s="92"/>
      <c r="C91" s="54"/>
      <c r="D91" s="45" t="s">
        <v>1</v>
      </c>
      <c r="E91" s="138"/>
      <c r="F91" s="138">
        <f>IF(E90&gt;0,+E90*0.25,0)</f>
        <v>0</v>
      </c>
      <c r="G91" s="46">
        <f t="shared" ref="G91:AR91" si="250">IF(F90&gt;0,+F90*0.25,0)</f>
        <v>0</v>
      </c>
      <c r="H91" s="46">
        <f t="shared" si="250"/>
        <v>0</v>
      </c>
      <c r="I91" s="46">
        <f t="shared" si="250"/>
        <v>10.780000000000001</v>
      </c>
      <c r="J91" s="46">
        <f t="shared" si="250"/>
        <v>0</v>
      </c>
      <c r="K91" s="46">
        <f t="shared" si="250"/>
        <v>0</v>
      </c>
      <c r="L91" s="46">
        <f t="shared" si="250"/>
        <v>0</v>
      </c>
      <c r="M91" s="46">
        <f t="shared" si="250"/>
        <v>0</v>
      </c>
      <c r="N91" s="46">
        <f t="shared" si="250"/>
        <v>0</v>
      </c>
      <c r="O91" s="46">
        <f t="shared" si="250"/>
        <v>0</v>
      </c>
      <c r="P91" s="46">
        <f t="shared" si="250"/>
        <v>0</v>
      </c>
      <c r="Q91" s="46">
        <f t="shared" si="250"/>
        <v>0</v>
      </c>
      <c r="R91" s="46">
        <f t="shared" si="250"/>
        <v>0</v>
      </c>
      <c r="S91" s="46">
        <f t="shared" si="250"/>
        <v>0</v>
      </c>
      <c r="T91" s="46">
        <f t="shared" si="250"/>
        <v>0</v>
      </c>
      <c r="U91" s="46">
        <f t="shared" si="250"/>
        <v>0</v>
      </c>
      <c r="V91" s="46">
        <f t="shared" si="250"/>
        <v>0</v>
      </c>
      <c r="W91" s="46">
        <f t="shared" si="250"/>
        <v>0</v>
      </c>
      <c r="X91" s="46">
        <f t="shared" si="250"/>
        <v>0</v>
      </c>
      <c r="Y91" s="46">
        <f t="shared" si="250"/>
        <v>0</v>
      </c>
      <c r="Z91" s="46">
        <f t="shared" si="250"/>
        <v>0</v>
      </c>
      <c r="AA91" s="46">
        <f t="shared" si="250"/>
        <v>0</v>
      </c>
      <c r="AB91" s="46">
        <f t="shared" si="250"/>
        <v>0</v>
      </c>
      <c r="AC91" s="46">
        <f t="shared" si="250"/>
        <v>0</v>
      </c>
      <c r="AD91" s="46">
        <f t="shared" si="250"/>
        <v>0</v>
      </c>
      <c r="AE91" s="46">
        <f t="shared" si="250"/>
        <v>0</v>
      </c>
      <c r="AF91" s="46">
        <f t="shared" si="250"/>
        <v>0</v>
      </c>
      <c r="AG91" s="46">
        <f t="shared" si="250"/>
        <v>0</v>
      </c>
      <c r="AH91" s="46">
        <f t="shared" si="250"/>
        <v>0</v>
      </c>
      <c r="AI91" s="46">
        <f t="shared" si="250"/>
        <v>0</v>
      </c>
      <c r="AJ91" s="46">
        <f t="shared" si="250"/>
        <v>0</v>
      </c>
      <c r="AK91" s="46">
        <f t="shared" si="250"/>
        <v>0</v>
      </c>
      <c r="AL91" s="46">
        <f t="shared" si="250"/>
        <v>0</v>
      </c>
      <c r="AM91" s="46">
        <f t="shared" si="250"/>
        <v>0</v>
      </c>
      <c r="AN91" s="46">
        <f t="shared" si="250"/>
        <v>0</v>
      </c>
      <c r="AO91" s="46">
        <f t="shared" si="250"/>
        <v>0</v>
      </c>
      <c r="AP91" s="46">
        <f t="shared" si="250"/>
        <v>0</v>
      </c>
      <c r="AQ91" s="46">
        <f t="shared" si="250"/>
        <v>0</v>
      </c>
      <c r="AR91" s="47">
        <f t="shared" si="250"/>
        <v>0</v>
      </c>
    </row>
    <row r="92" spans="1:44" x14ac:dyDescent="0.35">
      <c r="A92" s="92"/>
      <c r="C92" s="54"/>
      <c r="D92" s="45" t="s">
        <v>62</v>
      </c>
      <c r="E92" s="138">
        <v>4</v>
      </c>
      <c r="F92" s="138">
        <f>IF(F87&gt;0,+E92*(1+F$6),0)</f>
        <v>4.16</v>
      </c>
      <c r="G92" s="46">
        <f>IF(G87&gt;0,+F92*(1+G$6),+IF(G89&gt;0,+F92*(1+G$6)/2,0))</f>
        <v>4.3056000000000001</v>
      </c>
      <c r="H92" s="46">
        <f>IF(H87&gt;0,+G92*(1+H$6),+IF(H89&gt;0,+G92*(1+H$6)/2,0))</f>
        <v>2.20662</v>
      </c>
      <c r="I92" s="46">
        <f t="shared" ref="I92:AR92" si="251">IF(I87&gt;0,+H92*(1+I$6),+IF(I89&gt;0,+H92*(1+I$6)/2,0))</f>
        <v>0</v>
      </c>
      <c r="J92" s="46">
        <f t="shared" si="251"/>
        <v>0</v>
      </c>
      <c r="K92" s="46">
        <f t="shared" si="251"/>
        <v>0</v>
      </c>
      <c r="L92" s="46">
        <f t="shared" si="251"/>
        <v>0</v>
      </c>
      <c r="M92" s="46">
        <f t="shared" si="251"/>
        <v>0</v>
      </c>
      <c r="N92" s="46">
        <f t="shared" si="251"/>
        <v>0</v>
      </c>
      <c r="O92" s="46">
        <f t="shared" si="251"/>
        <v>0</v>
      </c>
      <c r="P92" s="46">
        <f t="shared" si="251"/>
        <v>0</v>
      </c>
      <c r="Q92" s="46">
        <f t="shared" si="251"/>
        <v>0</v>
      </c>
      <c r="R92" s="46">
        <f t="shared" si="251"/>
        <v>0</v>
      </c>
      <c r="S92" s="46">
        <f t="shared" si="251"/>
        <v>0</v>
      </c>
      <c r="T92" s="46">
        <f t="shared" si="251"/>
        <v>0</v>
      </c>
      <c r="U92" s="46">
        <f t="shared" si="251"/>
        <v>0</v>
      </c>
      <c r="V92" s="46">
        <f t="shared" si="251"/>
        <v>0</v>
      </c>
      <c r="W92" s="46">
        <f t="shared" si="251"/>
        <v>0</v>
      </c>
      <c r="X92" s="46">
        <f t="shared" si="251"/>
        <v>0</v>
      </c>
      <c r="Y92" s="46">
        <f t="shared" si="251"/>
        <v>0</v>
      </c>
      <c r="Z92" s="46">
        <f t="shared" si="251"/>
        <v>0</v>
      </c>
      <c r="AA92" s="46">
        <f t="shared" si="251"/>
        <v>0</v>
      </c>
      <c r="AB92" s="46">
        <f t="shared" si="251"/>
        <v>0</v>
      </c>
      <c r="AC92" s="46">
        <f t="shared" si="251"/>
        <v>0</v>
      </c>
      <c r="AD92" s="46">
        <f t="shared" si="251"/>
        <v>0</v>
      </c>
      <c r="AE92" s="46">
        <f t="shared" si="251"/>
        <v>0</v>
      </c>
      <c r="AF92" s="46">
        <f t="shared" si="251"/>
        <v>0</v>
      </c>
      <c r="AG92" s="46">
        <f t="shared" si="251"/>
        <v>0</v>
      </c>
      <c r="AH92" s="46">
        <f t="shared" si="251"/>
        <v>0</v>
      </c>
      <c r="AI92" s="46">
        <f t="shared" si="251"/>
        <v>0</v>
      </c>
      <c r="AJ92" s="46">
        <f t="shared" si="251"/>
        <v>0</v>
      </c>
      <c r="AK92" s="46">
        <f t="shared" si="251"/>
        <v>0</v>
      </c>
      <c r="AL92" s="46">
        <f t="shared" si="251"/>
        <v>0</v>
      </c>
      <c r="AM92" s="46">
        <f t="shared" si="251"/>
        <v>0</v>
      </c>
      <c r="AN92" s="46">
        <f t="shared" si="251"/>
        <v>0</v>
      </c>
      <c r="AO92" s="46">
        <f t="shared" si="251"/>
        <v>0</v>
      </c>
      <c r="AP92" s="46">
        <f t="shared" si="251"/>
        <v>0</v>
      </c>
      <c r="AQ92" s="46">
        <f t="shared" si="251"/>
        <v>0</v>
      </c>
      <c r="AR92" s="46">
        <f t="shared" si="251"/>
        <v>0</v>
      </c>
    </row>
    <row r="93" spans="1:44" x14ac:dyDescent="0.35">
      <c r="A93" s="92"/>
      <c r="C93" s="54"/>
      <c r="D93" s="45" t="s">
        <v>16</v>
      </c>
      <c r="E93" s="138">
        <v>10</v>
      </c>
      <c r="F93" s="138">
        <v>15</v>
      </c>
      <c r="G93" s="46">
        <f>+IF(G87&gt;0,F93*(1+F94),0)</f>
        <v>15.600000000000001</v>
      </c>
      <c r="H93" s="46">
        <f>+IF(H87&gt;0,G93*(1+G94),0)</f>
        <v>0</v>
      </c>
      <c r="I93" s="46">
        <f>+IF(I87&gt;0,H93*(1+H94),0)</f>
        <v>0</v>
      </c>
      <c r="J93" s="46">
        <f>+IF(J87&gt;0,I93*(1+I94),0)</f>
        <v>0</v>
      </c>
      <c r="K93" s="46">
        <f t="shared" ref="K93:AR93" si="252">+IF(K87&gt;0,J93*(1+J94),0)</f>
        <v>0</v>
      </c>
      <c r="L93" s="46">
        <f t="shared" si="252"/>
        <v>0</v>
      </c>
      <c r="M93" s="46">
        <f t="shared" si="252"/>
        <v>0</v>
      </c>
      <c r="N93" s="46">
        <f t="shared" si="252"/>
        <v>0</v>
      </c>
      <c r="O93" s="46">
        <f t="shared" si="252"/>
        <v>0</v>
      </c>
      <c r="P93" s="46">
        <f t="shared" si="252"/>
        <v>0</v>
      </c>
      <c r="Q93" s="46">
        <f t="shared" si="252"/>
        <v>0</v>
      </c>
      <c r="R93" s="46">
        <f t="shared" si="252"/>
        <v>0</v>
      </c>
      <c r="S93" s="46">
        <f t="shared" si="252"/>
        <v>0</v>
      </c>
      <c r="T93" s="46">
        <f t="shared" si="252"/>
        <v>0</v>
      </c>
      <c r="U93" s="46">
        <f t="shared" si="252"/>
        <v>0</v>
      </c>
      <c r="V93" s="46">
        <f t="shared" si="252"/>
        <v>0</v>
      </c>
      <c r="W93" s="46">
        <f t="shared" si="252"/>
        <v>0</v>
      </c>
      <c r="X93" s="46">
        <f t="shared" si="252"/>
        <v>0</v>
      </c>
      <c r="Y93" s="46">
        <f t="shared" si="252"/>
        <v>0</v>
      </c>
      <c r="Z93" s="46">
        <f t="shared" si="252"/>
        <v>0</v>
      </c>
      <c r="AA93" s="46">
        <f t="shared" si="252"/>
        <v>0</v>
      </c>
      <c r="AB93" s="46">
        <f t="shared" si="252"/>
        <v>0</v>
      </c>
      <c r="AC93" s="46">
        <f t="shared" si="252"/>
        <v>0</v>
      </c>
      <c r="AD93" s="46">
        <f t="shared" si="252"/>
        <v>0</v>
      </c>
      <c r="AE93" s="46">
        <f t="shared" si="252"/>
        <v>0</v>
      </c>
      <c r="AF93" s="46">
        <f t="shared" si="252"/>
        <v>0</v>
      </c>
      <c r="AG93" s="46">
        <f t="shared" si="252"/>
        <v>0</v>
      </c>
      <c r="AH93" s="46">
        <f t="shared" si="252"/>
        <v>0</v>
      </c>
      <c r="AI93" s="46">
        <f t="shared" si="252"/>
        <v>0</v>
      </c>
      <c r="AJ93" s="46">
        <f t="shared" si="252"/>
        <v>0</v>
      </c>
      <c r="AK93" s="46">
        <f t="shared" si="252"/>
        <v>0</v>
      </c>
      <c r="AL93" s="46">
        <f t="shared" si="252"/>
        <v>0</v>
      </c>
      <c r="AM93" s="46">
        <f t="shared" si="252"/>
        <v>0</v>
      </c>
      <c r="AN93" s="46">
        <f t="shared" si="252"/>
        <v>0</v>
      </c>
      <c r="AO93" s="46">
        <f t="shared" si="252"/>
        <v>0</v>
      </c>
      <c r="AP93" s="46">
        <f t="shared" si="252"/>
        <v>0</v>
      </c>
      <c r="AQ93" s="46">
        <f t="shared" si="252"/>
        <v>0</v>
      </c>
      <c r="AR93" s="46">
        <f t="shared" si="252"/>
        <v>0</v>
      </c>
    </row>
    <row r="94" spans="1:44" x14ac:dyDescent="0.35">
      <c r="A94" s="92"/>
      <c r="C94" s="55"/>
      <c r="D94" s="56" t="s">
        <v>51</v>
      </c>
      <c r="E94" s="146">
        <f>+E$6</f>
        <v>0.05</v>
      </c>
      <c r="F94" s="146">
        <f t="shared" ref="F94:AR94" si="253">+F$6</f>
        <v>0.04</v>
      </c>
      <c r="G94" s="77">
        <f t="shared" si="253"/>
        <v>3.5000000000000003E-2</v>
      </c>
      <c r="H94" s="77">
        <f t="shared" si="253"/>
        <v>2.5000000000000001E-2</v>
      </c>
      <c r="I94" s="77">
        <f t="shared" si="253"/>
        <v>2.2499999999999999E-2</v>
      </c>
      <c r="J94" s="77">
        <f t="shared" si="253"/>
        <v>0.02</v>
      </c>
      <c r="K94" s="77">
        <f t="shared" si="253"/>
        <v>0.02</v>
      </c>
      <c r="L94" s="77">
        <f t="shared" si="253"/>
        <v>0.02</v>
      </c>
      <c r="M94" s="77">
        <f t="shared" si="253"/>
        <v>0.02</v>
      </c>
      <c r="N94" s="77">
        <f t="shared" si="253"/>
        <v>0.02</v>
      </c>
      <c r="O94" s="77">
        <f t="shared" si="253"/>
        <v>0.02</v>
      </c>
      <c r="P94" s="77">
        <f t="shared" si="253"/>
        <v>0.02</v>
      </c>
      <c r="Q94" s="77">
        <f t="shared" si="253"/>
        <v>0.02</v>
      </c>
      <c r="R94" s="77">
        <f t="shared" si="253"/>
        <v>0.02</v>
      </c>
      <c r="S94" s="77">
        <f t="shared" si="253"/>
        <v>0.02</v>
      </c>
      <c r="T94" s="77">
        <f t="shared" si="253"/>
        <v>0.02</v>
      </c>
      <c r="U94" s="77">
        <f t="shared" si="253"/>
        <v>0.02</v>
      </c>
      <c r="V94" s="77">
        <f t="shared" si="253"/>
        <v>0.02</v>
      </c>
      <c r="W94" s="77">
        <f t="shared" si="253"/>
        <v>0.02</v>
      </c>
      <c r="X94" s="77">
        <f t="shared" si="253"/>
        <v>0.02</v>
      </c>
      <c r="Y94" s="77">
        <f t="shared" si="253"/>
        <v>0.02</v>
      </c>
      <c r="Z94" s="77">
        <f t="shared" si="253"/>
        <v>0.02</v>
      </c>
      <c r="AA94" s="77">
        <f t="shared" si="253"/>
        <v>0.02</v>
      </c>
      <c r="AB94" s="77">
        <f t="shared" si="253"/>
        <v>0.02</v>
      </c>
      <c r="AC94" s="77">
        <f t="shared" si="253"/>
        <v>0.02</v>
      </c>
      <c r="AD94" s="77">
        <f t="shared" si="253"/>
        <v>0.02</v>
      </c>
      <c r="AE94" s="77">
        <f t="shared" si="253"/>
        <v>0.02</v>
      </c>
      <c r="AF94" s="77">
        <f t="shared" si="253"/>
        <v>0.02</v>
      </c>
      <c r="AG94" s="77">
        <f t="shared" si="253"/>
        <v>0.02</v>
      </c>
      <c r="AH94" s="77">
        <f t="shared" si="253"/>
        <v>0.02</v>
      </c>
      <c r="AI94" s="77">
        <f t="shared" si="253"/>
        <v>0.02</v>
      </c>
      <c r="AJ94" s="77">
        <f t="shared" si="253"/>
        <v>0.02</v>
      </c>
      <c r="AK94" s="77">
        <f t="shared" si="253"/>
        <v>0.02</v>
      </c>
      <c r="AL94" s="77">
        <f t="shared" si="253"/>
        <v>0.02</v>
      </c>
      <c r="AM94" s="77">
        <f t="shared" si="253"/>
        <v>0.02</v>
      </c>
      <c r="AN94" s="77">
        <f t="shared" si="253"/>
        <v>0.02</v>
      </c>
      <c r="AO94" s="77">
        <f t="shared" si="253"/>
        <v>0.02</v>
      </c>
      <c r="AP94" s="77">
        <f t="shared" si="253"/>
        <v>0.02</v>
      </c>
      <c r="AQ94" s="77">
        <f t="shared" si="253"/>
        <v>0.02</v>
      </c>
      <c r="AR94" s="80">
        <f t="shared" si="253"/>
        <v>0.02</v>
      </c>
    </row>
    <row r="95" spans="1:44" x14ac:dyDescent="0.35">
      <c r="A95" s="92"/>
    </row>
    <row r="96" spans="1:44" s="2" customFormat="1" x14ac:dyDescent="0.35">
      <c r="A96" s="91"/>
      <c r="C96" s="78" t="s">
        <v>53</v>
      </c>
      <c r="D96" s="85" t="s">
        <v>81</v>
      </c>
      <c r="E96" s="134">
        <v>550</v>
      </c>
      <c r="F96" s="134">
        <v>563</v>
      </c>
      <c r="G96" s="42">
        <f t="shared" ref="G96:AR96" si="254">+F96*(1+F102)-(G98*(1+F102))</f>
        <v>585.52</v>
      </c>
      <c r="H96" s="42">
        <f t="shared" si="254"/>
        <v>606.01319999999998</v>
      </c>
      <c r="I96" s="42">
        <f t="shared" si="254"/>
        <v>621.16352999999992</v>
      </c>
      <c r="J96" s="42">
        <f t="shared" si="254"/>
        <v>635.13970942499986</v>
      </c>
      <c r="K96" s="42">
        <f t="shared" si="254"/>
        <v>647.84250361349984</v>
      </c>
      <c r="L96" s="42">
        <f t="shared" si="254"/>
        <v>0</v>
      </c>
      <c r="M96" s="42">
        <f t="shared" si="254"/>
        <v>0</v>
      </c>
      <c r="N96" s="42">
        <f t="shared" si="254"/>
        <v>0</v>
      </c>
      <c r="O96" s="42">
        <f t="shared" si="254"/>
        <v>0</v>
      </c>
      <c r="P96" s="42">
        <f t="shared" si="254"/>
        <v>0</v>
      </c>
      <c r="Q96" s="42">
        <f t="shared" si="254"/>
        <v>0</v>
      </c>
      <c r="R96" s="42">
        <f t="shared" si="254"/>
        <v>0</v>
      </c>
      <c r="S96" s="42">
        <f t="shared" si="254"/>
        <v>0</v>
      </c>
      <c r="T96" s="42">
        <f t="shared" si="254"/>
        <v>0</v>
      </c>
      <c r="U96" s="42">
        <f t="shared" si="254"/>
        <v>0</v>
      </c>
      <c r="V96" s="42">
        <f t="shared" si="254"/>
        <v>0</v>
      </c>
      <c r="W96" s="42">
        <f t="shared" si="254"/>
        <v>0</v>
      </c>
      <c r="X96" s="42">
        <f t="shared" si="254"/>
        <v>0</v>
      </c>
      <c r="Y96" s="42">
        <f t="shared" si="254"/>
        <v>0</v>
      </c>
      <c r="Z96" s="42">
        <f t="shared" si="254"/>
        <v>0</v>
      </c>
      <c r="AA96" s="42">
        <f t="shared" si="254"/>
        <v>0</v>
      </c>
      <c r="AB96" s="42">
        <f t="shared" si="254"/>
        <v>0</v>
      </c>
      <c r="AC96" s="42">
        <f t="shared" si="254"/>
        <v>0</v>
      </c>
      <c r="AD96" s="42">
        <f t="shared" si="254"/>
        <v>0</v>
      </c>
      <c r="AE96" s="42">
        <f t="shared" si="254"/>
        <v>0</v>
      </c>
      <c r="AF96" s="42">
        <f t="shared" si="254"/>
        <v>0</v>
      </c>
      <c r="AG96" s="42">
        <f t="shared" si="254"/>
        <v>0</v>
      </c>
      <c r="AH96" s="42">
        <f t="shared" si="254"/>
        <v>0</v>
      </c>
      <c r="AI96" s="42">
        <f t="shared" si="254"/>
        <v>0</v>
      </c>
      <c r="AJ96" s="42">
        <f t="shared" si="254"/>
        <v>0</v>
      </c>
      <c r="AK96" s="42">
        <f t="shared" si="254"/>
        <v>0</v>
      </c>
      <c r="AL96" s="42">
        <f t="shared" si="254"/>
        <v>0</v>
      </c>
      <c r="AM96" s="42">
        <f t="shared" si="254"/>
        <v>0</v>
      </c>
      <c r="AN96" s="42">
        <f t="shared" si="254"/>
        <v>0</v>
      </c>
      <c r="AO96" s="42">
        <f t="shared" si="254"/>
        <v>0</v>
      </c>
      <c r="AP96" s="42">
        <f t="shared" si="254"/>
        <v>0</v>
      </c>
      <c r="AQ96" s="42">
        <f t="shared" si="254"/>
        <v>0</v>
      </c>
      <c r="AR96" s="43">
        <f t="shared" si="254"/>
        <v>0</v>
      </c>
    </row>
    <row r="97" spans="1:44" s="2" customFormat="1" x14ac:dyDescent="0.35">
      <c r="A97" s="91"/>
      <c r="C97" s="48" t="s">
        <v>87</v>
      </c>
      <c r="D97" s="49" t="s">
        <v>82</v>
      </c>
      <c r="E97" s="138">
        <v>300</v>
      </c>
      <c r="F97" s="138">
        <f t="shared" ref="F97:AR97" si="255">IF(E96&gt;0,+E97-(F98*E97/E96),0)</f>
        <v>300</v>
      </c>
      <c r="G97" s="46">
        <f t="shared" si="255"/>
        <v>300</v>
      </c>
      <c r="H97" s="46">
        <f t="shared" si="255"/>
        <v>300</v>
      </c>
      <c r="I97" s="46">
        <f t="shared" si="255"/>
        <v>300</v>
      </c>
      <c r="J97" s="46">
        <f t="shared" si="255"/>
        <v>300</v>
      </c>
      <c r="K97" s="46">
        <f t="shared" si="255"/>
        <v>300</v>
      </c>
      <c r="L97" s="46">
        <f t="shared" si="255"/>
        <v>0</v>
      </c>
      <c r="M97" s="46">
        <f t="shared" si="255"/>
        <v>0</v>
      </c>
      <c r="N97" s="46">
        <f t="shared" si="255"/>
        <v>0</v>
      </c>
      <c r="O97" s="46">
        <f t="shared" si="255"/>
        <v>0</v>
      </c>
      <c r="P97" s="46">
        <f t="shared" si="255"/>
        <v>0</v>
      </c>
      <c r="Q97" s="46">
        <f t="shared" si="255"/>
        <v>0</v>
      </c>
      <c r="R97" s="46">
        <f t="shared" si="255"/>
        <v>0</v>
      </c>
      <c r="S97" s="46">
        <f t="shared" si="255"/>
        <v>0</v>
      </c>
      <c r="T97" s="46">
        <f t="shared" si="255"/>
        <v>0</v>
      </c>
      <c r="U97" s="46">
        <f t="shared" si="255"/>
        <v>0</v>
      </c>
      <c r="V97" s="46">
        <f t="shared" si="255"/>
        <v>0</v>
      </c>
      <c r="W97" s="46">
        <f t="shared" si="255"/>
        <v>0</v>
      </c>
      <c r="X97" s="46">
        <f t="shared" si="255"/>
        <v>0</v>
      </c>
      <c r="Y97" s="46">
        <f t="shared" si="255"/>
        <v>0</v>
      </c>
      <c r="Z97" s="46">
        <f t="shared" si="255"/>
        <v>0</v>
      </c>
      <c r="AA97" s="46">
        <f t="shared" si="255"/>
        <v>0</v>
      </c>
      <c r="AB97" s="46">
        <f t="shared" si="255"/>
        <v>0</v>
      </c>
      <c r="AC97" s="46">
        <f t="shared" si="255"/>
        <v>0</v>
      </c>
      <c r="AD97" s="46">
        <f t="shared" si="255"/>
        <v>0</v>
      </c>
      <c r="AE97" s="46">
        <f t="shared" si="255"/>
        <v>0</v>
      </c>
      <c r="AF97" s="46">
        <f t="shared" si="255"/>
        <v>0</v>
      </c>
      <c r="AG97" s="46">
        <f t="shared" si="255"/>
        <v>0</v>
      </c>
      <c r="AH97" s="46">
        <f t="shared" si="255"/>
        <v>0</v>
      </c>
      <c r="AI97" s="46">
        <f t="shared" si="255"/>
        <v>0</v>
      </c>
      <c r="AJ97" s="46">
        <f t="shared" si="255"/>
        <v>0</v>
      </c>
      <c r="AK97" s="46">
        <f t="shared" si="255"/>
        <v>0</v>
      </c>
      <c r="AL97" s="46">
        <f t="shared" si="255"/>
        <v>0</v>
      </c>
      <c r="AM97" s="46">
        <f t="shared" si="255"/>
        <v>0</v>
      </c>
      <c r="AN97" s="46">
        <f t="shared" si="255"/>
        <v>0</v>
      </c>
      <c r="AO97" s="46">
        <f t="shared" si="255"/>
        <v>0</v>
      </c>
      <c r="AP97" s="46">
        <f t="shared" si="255"/>
        <v>0</v>
      </c>
      <c r="AQ97" s="46">
        <f t="shared" si="255"/>
        <v>0</v>
      </c>
      <c r="AR97" s="47">
        <f t="shared" si="255"/>
        <v>0</v>
      </c>
    </row>
    <row r="98" spans="1:44" s="2" customFormat="1" x14ac:dyDescent="0.35">
      <c r="A98" s="91"/>
      <c r="C98" s="48"/>
      <c r="D98" s="49" t="s">
        <v>86</v>
      </c>
      <c r="E98" s="147"/>
      <c r="F98" s="141"/>
      <c r="G98" s="84"/>
      <c r="H98" s="84"/>
      <c r="I98" s="84"/>
      <c r="J98" s="84"/>
      <c r="K98" s="84"/>
      <c r="L98" s="84">
        <f>+K96</f>
        <v>647.84250361349984</v>
      </c>
      <c r="M98" s="84"/>
      <c r="N98" s="84">
        <f>+M96</f>
        <v>0</v>
      </c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</row>
    <row r="99" spans="1:44" s="2" customFormat="1" x14ac:dyDescent="0.35">
      <c r="A99" s="91"/>
      <c r="C99" s="48"/>
      <c r="D99" s="25" t="s">
        <v>83</v>
      </c>
      <c r="E99" s="147"/>
      <c r="F99" s="138">
        <f t="shared" ref="F99:AR99" si="256">IF(E96&gt;0,+F98-(F98*E97/E96),+F98)</f>
        <v>0</v>
      </c>
      <c r="G99" s="46">
        <f t="shared" si="256"/>
        <v>0</v>
      </c>
      <c r="H99" s="46">
        <f t="shared" si="256"/>
        <v>0</v>
      </c>
      <c r="I99" s="46">
        <f t="shared" si="256"/>
        <v>0</v>
      </c>
      <c r="J99" s="46">
        <f t="shared" si="256"/>
        <v>0</v>
      </c>
      <c r="K99" s="46">
        <f t="shared" si="256"/>
        <v>0</v>
      </c>
      <c r="L99" s="46">
        <f t="shared" si="256"/>
        <v>347.84250361349984</v>
      </c>
      <c r="M99" s="46">
        <f t="shared" si="256"/>
        <v>0</v>
      </c>
      <c r="N99" s="46">
        <f t="shared" si="256"/>
        <v>0</v>
      </c>
      <c r="O99" s="46">
        <f t="shared" si="256"/>
        <v>0</v>
      </c>
      <c r="P99" s="46">
        <f t="shared" si="256"/>
        <v>0</v>
      </c>
      <c r="Q99" s="46">
        <f t="shared" si="256"/>
        <v>0</v>
      </c>
      <c r="R99" s="46">
        <f t="shared" si="256"/>
        <v>0</v>
      </c>
      <c r="S99" s="46">
        <f t="shared" si="256"/>
        <v>0</v>
      </c>
      <c r="T99" s="46">
        <f t="shared" si="256"/>
        <v>0</v>
      </c>
      <c r="U99" s="46">
        <f t="shared" si="256"/>
        <v>0</v>
      </c>
      <c r="V99" s="46">
        <f t="shared" si="256"/>
        <v>0</v>
      </c>
      <c r="W99" s="46">
        <f t="shared" si="256"/>
        <v>0</v>
      </c>
      <c r="X99" s="46">
        <f t="shared" si="256"/>
        <v>0</v>
      </c>
      <c r="Y99" s="46">
        <f t="shared" si="256"/>
        <v>0</v>
      </c>
      <c r="Z99" s="46">
        <f t="shared" si="256"/>
        <v>0</v>
      </c>
      <c r="AA99" s="46">
        <f t="shared" si="256"/>
        <v>0</v>
      </c>
      <c r="AB99" s="46">
        <f t="shared" si="256"/>
        <v>0</v>
      </c>
      <c r="AC99" s="46">
        <f t="shared" si="256"/>
        <v>0</v>
      </c>
      <c r="AD99" s="46">
        <f t="shared" si="256"/>
        <v>0</v>
      </c>
      <c r="AE99" s="46">
        <f t="shared" si="256"/>
        <v>0</v>
      </c>
      <c r="AF99" s="46">
        <f t="shared" si="256"/>
        <v>0</v>
      </c>
      <c r="AG99" s="46">
        <f t="shared" si="256"/>
        <v>0</v>
      </c>
      <c r="AH99" s="46">
        <f t="shared" si="256"/>
        <v>0</v>
      </c>
      <c r="AI99" s="46">
        <f t="shared" si="256"/>
        <v>0</v>
      </c>
      <c r="AJ99" s="46">
        <f t="shared" si="256"/>
        <v>0</v>
      </c>
      <c r="AK99" s="46">
        <f t="shared" si="256"/>
        <v>0</v>
      </c>
      <c r="AL99" s="46">
        <f t="shared" si="256"/>
        <v>0</v>
      </c>
      <c r="AM99" s="46">
        <f t="shared" si="256"/>
        <v>0</v>
      </c>
      <c r="AN99" s="46">
        <f t="shared" si="256"/>
        <v>0</v>
      </c>
      <c r="AO99" s="46">
        <f t="shared" si="256"/>
        <v>0</v>
      </c>
      <c r="AP99" s="46">
        <f t="shared" si="256"/>
        <v>0</v>
      </c>
      <c r="AQ99" s="46">
        <f t="shared" si="256"/>
        <v>0</v>
      </c>
      <c r="AR99" s="47">
        <f t="shared" si="256"/>
        <v>0</v>
      </c>
    </row>
    <row r="100" spans="1:44" s="2" customFormat="1" x14ac:dyDescent="0.35">
      <c r="A100" s="91"/>
      <c r="C100" s="48"/>
      <c r="D100" s="25" t="s">
        <v>1</v>
      </c>
      <c r="E100" s="147"/>
      <c r="F100" s="138">
        <f t="shared" ref="F100:AR100" si="257">IF(E99&gt;0,+E99*0.25,0)</f>
        <v>0</v>
      </c>
      <c r="G100" s="46">
        <f t="shared" si="257"/>
        <v>0</v>
      </c>
      <c r="H100" s="46">
        <f t="shared" si="257"/>
        <v>0</v>
      </c>
      <c r="I100" s="46">
        <f t="shared" si="257"/>
        <v>0</v>
      </c>
      <c r="J100" s="46">
        <f t="shared" si="257"/>
        <v>0</v>
      </c>
      <c r="K100" s="46">
        <f t="shared" si="257"/>
        <v>0</v>
      </c>
      <c r="L100" s="46">
        <f t="shared" si="257"/>
        <v>0</v>
      </c>
      <c r="M100" s="46">
        <f t="shared" si="257"/>
        <v>86.960625903374961</v>
      </c>
      <c r="N100" s="46">
        <f t="shared" si="257"/>
        <v>0</v>
      </c>
      <c r="O100" s="46">
        <f t="shared" si="257"/>
        <v>0</v>
      </c>
      <c r="P100" s="46">
        <f t="shared" si="257"/>
        <v>0</v>
      </c>
      <c r="Q100" s="46">
        <f t="shared" si="257"/>
        <v>0</v>
      </c>
      <c r="R100" s="46">
        <f t="shared" si="257"/>
        <v>0</v>
      </c>
      <c r="S100" s="46">
        <f t="shared" si="257"/>
        <v>0</v>
      </c>
      <c r="T100" s="46">
        <f t="shared" si="257"/>
        <v>0</v>
      </c>
      <c r="U100" s="46">
        <f t="shared" si="257"/>
        <v>0</v>
      </c>
      <c r="V100" s="46">
        <f t="shared" si="257"/>
        <v>0</v>
      </c>
      <c r="W100" s="46">
        <f t="shared" si="257"/>
        <v>0</v>
      </c>
      <c r="X100" s="46">
        <f t="shared" si="257"/>
        <v>0</v>
      </c>
      <c r="Y100" s="46">
        <f t="shared" si="257"/>
        <v>0</v>
      </c>
      <c r="Z100" s="46">
        <f t="shared" si="257"/>
        <v>0</v>
      </c>
      <c r="AA100" s="46">
        <f t="shared" si="257"/>
        <v>0</v>
      </c>
      <c r="AB100" s="46">
        <f t="shared" si="257"/>
        <v>0</v>
      </c>
      <c r="AC100" s="46">
        <f t="shared" si="257"/>
        <v>0</v>
      </c>
      <c r="AD100" s="46">
        <f t="shared" si="257"/>
        <v>0</v>
      </c>
      <c r="AE100" s="46">
        <f t="shared" si="257"/>
        <v>0</v>
      </c>
      <c r="AF100" s="46">
        <f t="shared" si="257"/>
        <v>0</v>
      </c>
      <c r="AG100" s="46">
        <f t="shared" si="257"/>
        <v>0</v>
      </c>
      <c r="AH100" s="46">
        <f t="shared" si="257"/>
        <v>0</v>
      </c>
      <c r="AI100" s="46">
        <f t="shared" si="257"/>
        <v>0</v>
      </c>
      <c r="AJ100" s="46">
        <f t="shared" si="257"/>
        <v>0</v>
      </c>
      <c r="AK100" s="46">
        <f t="shared" si="257"/>
        <v>0</v>
      </c>
      <c r="AL100" s="46">
        <f t="shared" si="257"/>
        <v>0</v>
      </c>
      <c r="AM100" s="46">
        <f t="shared" si="257"/>
        <v>0</v>
      </c>
      <c r="AN100" s="46">
        <f t="shared" si="257"/>
        <v>0</v>
      </c>
      <c r="AO100" s="46">
        <f t="shared" si="257"/>
        <v>0</v>
      </c>
      <c r="AP100" s="46">
        <f t="shared" si="257"/>
        <v>0</v>
      </c>
      <c r="AQ100" s="46">
        <f t="shared" si="257"/>
        <v>0</v>
      </c>
      <c r="AR100" s="47">
        <f t="shared" si="257"/>
        <v>0</v>
      </c>
    </row>
    <row r="101" spans="1:44" s="2" customFormat="1" x14ac:dyDescent="0.35">
      <c r="A101" s="91"/>
      <c r="C101" s="48"/>
      <c r="D101" s="25" t="s">
        <v>62</v>
      </c>
      <c r="E101" s="138"/>
      <c r="F101" s="138">
        <v>0</v>
      </c>
      <c r="G101" s="46">
        <f t="shared" ref="G101:AR101" si="258">IF(G96&gt;0,+F101*(1+G$6),+IF(G98&gt;0,+F101*(1+G$6)/2,0))</f>
        <v>0</v>
      </c>
      <c r="H101" s="46">
        <f t="shared" si="258"/>
        <v>0</v>
      </c>
      <c r="I101" s="46">
        <f t="shared" si="258"/>
        <v>0</v>
      </c>
      <c r="J101" s="46">
        <f t="shared" si="258"/>
        <v>0</v>
      </c>
      <c r="K101" s="46">
        <f t="shared" si="258"/>
        <v>0</v>
      </c>
      <c r="L101" s="46">
        <f t="shared" si="258"/>
        <v>0</v>
      </c>
      <c r="M101" s="46">
        <f t="shared" si="258"/>
        <v>0</v>
      </c>
      <c r="N101" s="46">
        <f t="shared" si="258"/>
        <v>0</v>
      </c>
      <c r="O101" s="46">
        <f t="shared" si="258"/>
        <v>0</v>
      </c>
      <c r="P101" s="46">
        <f t="shared" si="258"/>
        <v>0</v>
      </c>
      <c r="Q101" s="46">
        <f t="shared" si="258"/>
        <v>0</v>
      </c>
      <c r="R101" s="46">
        <f t="shared" si="258"/>
        <v>0</v>
      </c>
      <c r="S101" s="46">
        <f t="shared" si="258"/>
        <v>0</v>
      </c>
      <c r="T101" s="46">
        <f t="shared" si="258"/>
        <v>0</v>
      </c>
      <c r="U101" s="46">
        <f t="shared" si="258"/>
        <v>0</v>
      </c>
      <c r="V101" s="46">
        <f t="shared" si="258"/>
        <v>0</v>
      </c>
      <c r="W101" s="46">
        <f t="shared" si="258"/>
        <v>0</v>
      </c>
      <c r="X101" s="46">
        <f t="shared" si="258"/>
        <v>0</v>
      </c>
      <c r="Y101" s="46">
        <f t="shared" si="258"/>
        <v>0</v>
      </c>
      <c r="Z101" s="46">
        <f t="shared" si="258"/>
        <v>0</v>
      </c>
      <c r="AA101" s="46">
        <f t="shared" si="258"/>
        <v>0</v>
      </c>
      <c r="AB101" s="46">
        <f t="shared" si="258"/>
        <v>0</v>
      </c>
      <c r="AC101" s="46">
        <f t="shared" si="258"/>
        <v>0</v>
      </c>
      <c r="AD101" s="46">
        <f t="shared" si="258"/>
        <v>0</v>
      </c>
      <c r="AE101" s="46">
        <f t="shared" si="258"/>
        <v>0</v>
      </c>
      <c r="AF101" s="46">
        <f t="shared" si="258"/>
        <v>0</v>
      </c>
      <c r="AG101" s="46">
        <f t="shared" si="258"/>
        <v>0</v>
      </c>
      <c r="AH101" s="46">
        <f t="shared" si="258"/>
        <v>0</v>
      </c>
      <c r="AI101" s="46">
        <f t="shared" si="258"/>
        <v>0</v>
      </c>
      <c r="AJ101" s="46">
        <f t="shared" si="258"/>
        <v>0</v>
      </c>
      <c r="AK101" s="46">
        <f t="shared" si="258"/>
        <v>0</v>
      </c>
      <c r="AL101" s="46">
        <f t="shared" si="258"/>
        <v>0</v>
      </c>
      <c r="AM101" s="46">
        <f t="shared" si="258"/>
        <v>0</v>
      </c>
      <c r="AN101" s="46">
        <f t="shared" si="258"/>
        <v>0</v>
      </c>
      <c r="AO101" s="46">
        <f t="shared" si="258"/>
        <v>0</v>
      </c>
      <c r="AP101" s="46">
        <f t="shared" si="258"/>
        <v>0</v>
      </c>
      <c r="AQ101" s="46">
        <f t="shared" si="258"/>
        <v>0</v>
      </c>
      <c r="AR101" s="2">
        <f t="shared" si="258"/>
        <v>0</v>
      </c>
    </row>
    <row r="102" spans="1:44" s="3" customFormat="1" x14ac:dyDescent="0.35">
      <c r="A102" s="93"/>
      <c r="C102" s="75"/>
      <c r="D102" s="87" t="s">
        <v>51</v>
      </c>
      <c r="E102" s="143">
        <f t="shared" ref="E102:AR102" si="259">+E$6</f>
        <v>0.05</v>
      </c>
      <c r="F102" s="143">
        <f t="shared" si="259"/>
        <v>0.04</v>
      </c>
      <c r="G102" s="70">
        <f t="shared" si="259"/>
        <v>3.5000000000000003E-2</v>
      </c>
      <c r="H102" s="70">
        <f t="shared" si="259"/>
        <v>2.5000000000000001E-2</v>
      </c>
      <c r="I102" s="70">
        <f t="shared" si="259"/>
        <v>2.2499999999999999E-2</v>
      </c>
      <c r="J102" s="70">
        <f t="shared" si="259"/>
        <v>0.02</v>
      </c>
      <c r="K102" s="70">
        <f t="shared" si="259"/>
        <v>0.02</v>
      </c>
      <c r="L102" s="70">
        <f t="shared" si="259"/>
        <v>0.02</v>
      </c>
      <c r="M102" s="70">
        <f t="shared" si="259"/>
        <v>0.02</v>
      </c>
      <c r="N102" s="70">
        <f t="shared" si="259"/>
        <v>0.02</v>
      </c>
      <c r="O102" s="70">
        <f t="shared" si="259"/>
        <v>0.02</v>
      </c>
      <c r="P102" s="70">
        <f t="shared" si="259"/>
        <v>0.02</v>
      </c>
      <c r="Q102" s="70">
        <f t="shared" si="259"/>
        <v>0.02</v>
      </c>
      <c r="R102" s="70">
        <f t="shared" si="259"/>
        <v>0.02</v>
      </c>
      <c r="S102" s="70">
        <f t="shared" si="259"/>
        <v>0.02</v>
      </c>
      <c r="T102" s="70">
        <f t="shared" si="259"/>
        <v>0.02</v>
      </c>
      <c r="U102" s="70">
        <f t="shared" si="259"/>
        <v>0.02</v>
      </c>
      <c r="V102" s="70">
        <f t="shared" si="259"/>
        <v>0.02</v>
      </c>
      <c r="W102" s="70">
        <f t="shared" si="259"/>
        <v>0.02</v>
      </c>
      <c r="X102" s="70">
        <f t="shared" si="259"/>
        <v>0.02</v>
      </c>
      <c r="Y102" s="70">
        <f t="shared" si="259"/>
        <v>0.02</v>
      </c>
      <c r="Z102" s="70">
        <f t="shared" si="259"/>
        <v>0.02</v>
      </c>
      <c r="AA102" s="70">
        <f t="shared" si="259"/>
        <v>0.02</v>
      </c>
      <c r="AB102" s="70">
        <f t="shared" si="259"/>
        <v>0.02</v>
      </c>
      <c r="AC102" s="70">
        <f t="shared" si="259"/>
        <v>0.02</v>
      </c>
      <c r="AD102" s="70">
        <f t="shared" si="259"/>
        <v>0.02</v>
      </c>
      <c r="AE102" s="70">
        <f t="shared" si="259"/>
        <v>0.02</v>
      </c>
      <c r="AF102" s="70">
        <f t="shared" si="259"/>
        <v>0.02</v>
      </c>
      <c r="AG102" s="70">
        <f t="shared" si="259"/>
        <v>0.02</v>
      </c>
      <c r="AH102" s="70">
        <f t="shared" si="259"/>
        <v>0.02</v>
      </c>
      <c r="AI102" s="70">
        <f t="shared" si="259"/>
        <v>0.02</v>
      </c>
      <c r="AJ102" s="70">
        <f t="shared" si="259"/>
        <v>0.02</v>
      </c>
      <c r="AK102" s="70">
        <f t="shared" si="259"/>
        <v>0.02</v>
      </c>
      <c r="AL102" s="70">
        <f t="shared" si="259"/>
        <v>0.02</v>
      </c>
      <c r="AM102" s="70">
        <f t="shared" si="259"/>
        <v>0.02</v>
      </c>
      <c r="AN102" s="70">
        <f t="shared" si="259"/>
        <v>0.02</v>
      </c>
      <c r="AO102" s="70">
        <f t="shared" si="259"/>
        <v>0.02</v>
      </c>
      <c r="AP102" s="70">
        <f t="shared" si="259"/>
        <v>0.02</v>
      </c>
      <c r="AQ102" s="70">
        <f t="shared" si="259"/>
        <v>0.02</v>
      </c>
      <c r="AR102" s="71">
        <f t="shared" si="259"/>
        <v>0.02</v>
      </c>
    </row>
    <row r="103" spans="1:44" s="2" customFormat="1" x14ac:dyDescent="0.35">
      <c r="A103" s="91"/>
    </row>
    <row r="104" spans="1:44" s="2" customFormat="1" x14ac:dyDescent="0.35">
      <c r="A104" s="91"/>
      <c r="C104" s="78" t="s">
        <v>54</v>
      </c>
      <c r="D104" s="85" t="s">
        <v>81</v>
      </c>
      <c r="E104" s="134">
        <v>1100</v>
      </c>
      <c r="F104" s="134">
        <v>900</v>
      </c>
      <c r="G104" s="42">
        <f t="shared" ref="G104:AR104" si="260">+F104*(1+F111)-(G106*(1+F111))</f>
        <v>936</v>
      </c>
      <c r="H104" s="42">
        <f t="shared" si="260"/>
        <v>968.75999999999988</v>
      </c>
      <c r="I104" s="42">
        <f t="shared" si="260"/>
        <v>992.97899999999981</v>
      </c>
      <c r="J104" s="42">
        <f t="shared" si="260"/>
        <v>1015.3210274999998</v>
      </c>
      <c r="K104" s="42">
        <f t="shared" si="260"/>
        <v>1035.6274480499999</v>
      </c>
      <c r="L104" s="42">
        <f t="shared" si="260"/>
        <v>1056.3399970109999</v>
      </c>
      <c r="M104" s="42">
        <f t="shared" si="260"/>
        <v>1077.46679695122</v>
      </c>
      <c r="N104" s="42">
        <f t="shared" si="260"/>
        <v>1099.0161328902443</v>
      </c>
      <c r="O104" s="42">
        <f t="shared" si="260"/>
        <v>1120.9964555480492</v>
      </c>
      <c r="P104" s="42">
        <f t="shared" si="260"/>
        <v>1143.4163846590102</v>
      </c>
      <c r="Q104" s="42">
        <f t="shared" si="260"/>
        <v>1166.2847123521904</v>
      </c>
      <c r="R104" s="42">
        <f t="shared" si="260"/>
        <v>1189.6104065992342</v>
      </c>
      <c r="S104" s="42">
        <f t="shared" si="260"/>
        <v>1213.402614731219</v>
      </c>
      <c r="T104" s="42">
        <f t="shared" si="260"/>
        <v>1237.6706670258434</v>
      </c>
      <c r="U104" s="42">
        <f t="shared" si="260"/>
        <v>1262.4240803663604</v>
      </c>
      <c r="V104" s="42">
        <f t="shared" si="260"/>
        <v>1287.6725619736876</v>
      </c>
      <c r="W104" s="42">
        <f t="shared" si="260"/>
        <v>1313.4260132131615</v>
      </c>
      <c r="X104" s="42">
        <f t="shared" si="260"/>
        <v>1339.6945334774248</v>
      </c>
      <c r="Y104" s="42">
        <f t="shared" si="260"/>
        <v>1366.4884241469733</v>
      </c>
      <c r="Z104" s="42">
        <f t="shared" si="260"/>
        <v>0</v>
      </c>
      <c r="AA104" s="42">
        <f t="shared" si="260"/>
        <v>0</v>
      </c>
      <c r="AB104" s="42">
        <f t="shared" si="260"/>
        <v>0</v>
      </c>
      <c r="AC104" s="42">
        <f t="shared" si="260"/>
        <v>0</v>
      </c>
      <c r="AD104" s="42">
        <f t="shared" si="260"/>
        <v>0</v>
      </c>
      <c r="AE104" s="42">
        <f t="shared" si="260"/>
        <v>0</v>
      </c>
      <c r="AF104" s="42">
        <f t="shared" si="260"/>
        <v>0</v>
      </c>
      <c r="AG104" s="42">
        <f t="shared" si="260"/>
        <v>0</v>
      </c>
      <c r="AH104" s="42">
        <f t="shared" si="260"/>
        <v>0</v>
      </c>
      <c r="AI104" s="42">
        <f t="shared" si="260"/>
        <v>0</v>
      </c>
      <c r="AJ104" s="42">
        <f t="shared" si="260"/>
        <v>0</v>
      </c>
      <c r="AK104" s="42">
        <f t="shared" si="260"/>
        <v>0</v>
      </c>
      <c r="AL104" s="42">
        <f t="shared" si="260"/>
        <v>0</v>
      </c>
      <c r="AM104" s="42">
        <f t="shared" si="260"/>
        <v>0</v>
      </c>
      <c r="AN104" s="42">
        <f t="shared" si="260"/>
        <v>0</v>
      </c>
      <c r="AO104" s="42">
        <f t="shared" si="260"/>
        <v>0</v>
      </c>
      <c r="AP104" s="42">
        <f t="shared" si="260"/>
        <v>0</v>
      </c>
      <c r="AQ104" s="42">
        <f t="shared" si="260"/>
        <v>0</v>
      </c>
      <c r="AR104" s="43">
        <f t="shared" si="260"/>
        <v>0</v>
      </c>
    </row>
    <row r="105" spans="1:44" s="2" customFormat="1" x14ac:dyDescent="0.35">
      <c r="A105" s="91"/>
      <c r="C105" s="48" t="s">
        <v>87</v>
      </c>
      <c r="D105" s="49" t="s">
        <v>82</v>
      </c>
      <c r="E105" s="138">
        <v>640</v>
      </c>
      <c r="F105" s="138">
        <f t="shared" ref="F105:AR105" si="261">IF(E104&gt;0,+E105-(F106*E105/E104),0)</f>
        <v>640</v>
      </c>
      <c r="G105" s="46">
        <f t="shared" si="261"/>
        <v>640</v>
      </c>
      <c r="H105" s="46">
        <f t="shared" si="261"/>
        <v>640</v>
      </c>
      <c r="I105" s="46">
        <f t="shared" si="261"/>
        <v>640</v>
      </c>
      <c r="J105" s="46">
        <f t="shared" si="261"/>
        <v>640</v>
      </c>
      <c r="K105" s="46">
        <f t="shared" si="261"/>
        <v>640</v>
      </c>
      <c r="L105" s="46">
        <f t="shared" si="261"/>
        <v>640</v>
      </c>
      <c r="M105" s="46">
        <f t="shared" si="261"/>
        <v>640</v>
      </c>
      <c r="N105" s="46">
        <f t="shared" si="261"/>
        <v>640</v>
      </c>
      <c r="O105" s="46">
        <f t="shared" si="261"/>
        <v>640</v>
      </c>
      <c r="P105" s="46">
        <f t="shared" si="261"/>
        <v>640</v>
      </c>
      <c r="Q105" s="46">
        <f t="shared" si="261"/>
        <v>640</v>
      </c>
      <c r="R105" s="46">
        <f t="shared" si="261"/>
        <v>640</v>
      </c>
      <c r="S105" s="46">
        <f t="shared" si="261"/>
        <v>640</v>
      </c>
      <c r="T105" s="46">
        <f t="shared" si="261"/>
        <v>640</v>
      </c>
      <c r="U105" s="46">
        <f t="shared" si="261"/>
        <v>640</v>
      </c>
      <c r="V105" s="46">
        <f t="shared" si="261"/>
        <v>640</v>
      </c>
      <c r="W105" s="46">
        <f t="shared" si="261"/>
        <v>640</v>
      </c>
      <c r="X105" s="46">
        <f t="shared" si="261"/>
        <v>640</v>
      </c>
      <c r="Y105" s="46">
        <f t="shared" si="261"/>
        <v>640</v>
      </c>
      <c r="Z105" s="46">
        <f t="shared" si="261"/>
        <v>0</v>
      </c>
      <c r="AA105" s="46">
        <f t="shared" si="261"/>
        <v>0</v>
      </c>
      <c r="AB105" s="46">
        <f t="shared" si="261"/>
        <v>0</v>
      </c>
      <c r="AC105" s="46">
        <f t="shared" si="261"/>
        <v>0</v>
      </c>
      <c r="AD105" s="46">
        <f t="shared" si="261"/>
        <v>0</v>
      </c>
      <c r="AE105" s="46">
        <f t="shared" si="261"/>
        <v>0</v>
      </c>
      <c r="AF105" s="46">
        <f t="shared" si="261"/>
        <v>0</v>
      </c>
      <c r="AG105" s="46">
        <f t="shared" si="261"/>
        <v>0</v>
      </c>
      <c r="AH105" s="46">
        <f t="shared" si="261"/>
        <v>0</v>
      </c>
      <c r="AI105" s="46">
        <f t="shared" si="261"/>
        <v>0</v>
      </c>
      <c r="AJ105" s="46">
        <f t="shared" si="261"/>
        <v>0</v>
      </c>
      <c r="AK105" s="46">
        <f t="shared" si="261"/>
        <v>0</v>
      </c>
      <c r="AL105" s="46">
        <f t="shared" si="261"/>
        <v>0</v>
      </c>
      <c r="AM105" s="46">
        <f t="shared" si="261"/>
        <v>0</v>
      </c>
      <c r="AN105" s="46">
        <f t="shared" si="261"/>
        <v>0</v>
      </c>
      <c r="AO105" s="46">
        <f t="shared" si="261"/>
        <v>0</v>
      </c>
      <c r="AP105" s="46">
        <f t="shared" si="261"/>
        <v>0</v>
      </c>
      <c r="AQ105" s="46">
        <f t="shared" si="261"/>
        <v>0</v>
      </c>
      <c r="AR105" s="47">
        <f t="shared" si="261"/>
        <v>0</v>
      </c>
    </row>
    <row r="106" spans="1:44" s="2" customFormat="1" x14ac:dyDescent="0.35">
      <c r="A106" s="91"/>
      <c r="C106" s="48"/>
      <c r="D106" s="49" t="s">
        <v>86</v>
      </c>
      <c r="E106" s="147"/>
      <c r="F106" s="141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>
        <f>+Y104</f>
        <v>1366.4884241469733</v>
      </c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</row>
    <row r="107" spans="1:44" s="2" customFormat="1" x14ac:dyDescent="0.35">
      <c r="A107" s="91"/>
      <c r="C107" s="48"/>
      <c r="D107" s="25" t="s">
        <v>83</v>
      </c>
      <c r="E107" s="147"/>
      <c r="F107" s="138">
        <f t="shared" ref="F107:AR107" si="262">IF(E104&gt;0,+F106-(F106*E105/E104),+F106)</f>
        <v>0</v>
      </c>
      <c r="G107" s="46">
        <f t="shared" si="262"/>
        <v>0</v>
      </c>
      <c r="H107" s="46">
        <f t="shared" si="262"/>
        <v>0</v>
      </c>
      <c r="I107" s="46">
        <f t="shared" si="262"/>
        <v>0</v>
      </c>
      <c r="J107" s="46">
        <f t="shared" si="262"/>
        <v>0</v>
      </c>
      <c r="K107" s="46">
        <f t="shared" si="262"/>
        <v>0</v>
      </c>
      <c r="L107" s="46">
        <f t="shared" si="262"/>
        <v>0</v>
      </c>
      <c r="M107" s="46">
        <f t="shared" si="262"/>
        <v>0</v>
      </c>
      <c r="N107" s="46">
        <f t="shared" si="262"/>
        <v>0</v>
      </c>
      <c r="O107" s="46">
        <f t="shared" si="262"/>
        <v>0</v>
      </c>
      <c r="P107" s="46">
        <f t="shared" si="262"/>
        <v>0</v>
      </c>
      <c r="Q107" s="46">
        <f t="shared" si="262"/>
        <v>0</v>
      </c>
      <c r="R107" s="46">
        <f t="shared" si="262"/>
        <v>0</v>
      </c>
      <c r="S107" s="46">
        <f t="shared" si="262"/>
        <v>0</v>
      </c>
      <c r="T107" s="46">
        <f t="shared" si="262"/>
        <v>0</v>
      </c>
      <c r="U107" s="46">
        <f t="shared" si="262"/>
        <v>0</v>
      </c>
      <c r="V107" s="46">
        <f t="shared" si="262"/>
        <v>0</v>
      </c>
      <c r="W107" s="46">
        <f t="shared" si="262"/>
        <v>0</v>
      </c>
      <c r="X107" s="46">
        <f t="shared" si="262"/>
        <v>0</v>
      </c>
      <c r="Y107" s="46">
        <f t="shared" si="262"/>
        <v>0</v>
      </c>
      <c r="Z107" s="46">
        <f t="shared" si="262"/>
        <v>726.48842414697333</v>
      </c>
      <c r="AA107" s="46">
        <f t="shared" si="262"/>
        <v>0</v>
      </c>
      <c r="AB107" s="46">
        <f t="shared" si="262"/>
        <v>0</v>
      </c>
      <c r="AC107" s="46">
        <f t="shared" si="262"/>
        <v>0</v>
      </c>
      <c r="AD107" s="46">
        <f t="shared" si="262"/>
        <v>0</v>
      </c>
      <c r="AE107" s="46">
        <f t="shared" si="262"/>
        <v>0</v>
      </c>
      <c r="AF107" s="46">
        <f t="shared" si="262"/>
        <v>0</v>
      </c>
      <c r="AG107" s="46">
        <f t="shared" si="262"/>
        <v>0</v>
      </c>
      <c r="AH107" s="46">
        <f t="shared" si="262"/>
        <v>0</v>
      </c>
      <c r="AI107" s="46">
        <f t="shared" si="262"/>
        <v>0</v>
      </c>
      <c r="AJ107" s="46">
        <f t="shared" si="262"/>
        <v>0</v>
      </c>
      <c r="AK107" s="46">
        <f t="shared" si="262"/>
        <v>0</v>
      </c>
      <c r="AL107" s="46">
        <f t="shared" si="262"/>
        <v>0</v>
      </c>
      <c r="AM107" s="46">
        <f t="shared" si="262"/>
        <v>0</v>
      </c>
      <c r="AN107" s="46">
        <f t="shared" si="262"/>
        <v>0</v>
      </c>
      <c r="AO107" s="46">
        <f t="shared" si="262"/>
        <v>0</v>
      </c>
      <c r="AP107" s="46">
        <f t="shared" si="262"/>
        <v>0</v>
      </c>
      <c r="AQ107" s="46">
        <f t="shared" si="262"/>
        <v>0</v>
      </c>
      <c r="AR107" s="47">
        <f t="shared" si="262"/>
        <v>0</v>
      </c>
    </row>
    <row r="108" spans="1:44" s="2" customFormat="1" x14ac:dyDescent="0.35">
      <c r="A108" s="91"/>
      <c r="C108" s="48"/>
      <c r="D108" s="25" t="s">
        <v>1</v>
      </c>
      <c r="E108" s="147"/>
      <c r="F108" s="138">
        <f t="shared" ref="F108:AR108" si="263">IF(E107&gt;0,+E107*0.25,0)</f>
        <v>0</v>
      </c>
      <c r="G108" s="46">
        <f t="shared" si="263"/>
        <v>0</v>
      </c>
      <c r="H108" s="46">
        <f t="shared" si="263"/>
        <v>0</v>
      </c>
      <c r="I108" s="46">
        <f t="shared" si="263"/>
        <v>0</v>
      </c>
      <c r="J108" s="46">
        <f t="shared" si="263"/>
        <v>0</v>
      </c>
      <c r="K108" s="46">
        <f t="shared" si="263"/>
        <v>0</v>
      </c>
      <c r="L108" s="46">
        <f t="shared" si="263"/>
        <v>0</v>
      </c>
      <c r="M108" s="46">
        <f t="shared" si="263"/>
        <v>0</v>
      </c>
      <c r="N108" s="46">
        <f t="shared" si="263"/>
        <v>0</v>
      </c>
      <c r="O108" s="46">
        <f t="shared" si="263"/>
        <v>0</v>
      </c>
      <c r="P108" s="46">
        <f t="shared" si="263"/>
        <v>0</v>
      </c>
      <c r="Q108" s="46">
        <f t="shared" si="263"/>
        <v>0</v>
      </c>
      <c r="R108" s="46">
        <f t="shared" si="263"/>
        <v>0</v>
      </c>
      <c r="S108" s="46">
        <f t="shared" si="263"/>
        <v>0</v>
      </c>
      <c r="T108" s="46">
        <f t="shared" si="263"/>
        <v>0</v>
      </c>
      <c r="U108" s="46">
        <f t="shared" si="263"/>
        <v>0</v>
      </c>
      <c r="V108" s="46">
        <f t="shared" si="263"/>
        <v>0</v>
      </c>
      <c r="W108" s="46">
        <f t="shared" si="263"/>
        <v>0</v>
      </c>
      <c r="X108" s="46">
        <f t="shared" si="263"/>
        <v>0</v>
      </c>
      <c r="Y108" s="46">
        <f t="shared" si="263"/>
        <v>0</v>
      </c>
      <c r="Z108" s="46">
        <f t="shared" si="263"/>
        <v>0</v>
      </c>
      <c r="AA108" s="46">
        <f t="shared" si="263"/>
        <v>181.62210603674333</v>
      </c>
      <c r="AB108" s="46">
        <f t="shared" si="263"/>
        <v>0</v>
      </c>
      <c r="AC108" s="46">
        <f t="shared" si="263"/>
        <v>0</v>
      </c>
      <c r="AD108" s="46">
        <f t="shared" si="263"/>
        <v>0</v>
      </c>
      <c r="AE108" s="46">
        <f t="shared" si="263"/>
        <v>0</v>
      </c>
      <c r="AF108" s="46">
        <f t="shared" si="263"/>
        <v>0</v>
      </c>
      <c r="AG108" s="46">
        <f t="shared" si="263"/>
        <v>0</v>
      </c>
      <c r="AH108" s="46">
        <f t="shared" si="263"/>
        <v>0</v>
      </c>
      <c r="AI108" s="46">
        <f t="shared" si="263"/>
        <v>0</v>
      </c>
      <c r="AJ108" s="46">
        <f t="shared" si="263"/>
        <v>0</v>
      </c>
      <c r="AK108" s="46">
        <f t="shared" si="263"/>
        <v>0</v>
      </c>
      <c r="AL108" s="46">
        <f t="shared" si="263"/>
        <v>0</v>
      </c>
      <c r="AM108" s="46">
        <f t="shared" si="263"/>
        <v>0</v>
      </c>
      <c r="AN108" s="46">
        <f t="shared" si="263"/>
        <v>0</v>
      </c>
      <c r="AO108" s="46">
        <f t="shared" si="263"/>
        <v>0</v>
      </c>
      <c r="AP108" s="46">
        <f t="shared" si="263"/>
        <v>0</v>
      </c>
      <c r="AQ108" s="46">
        <f t="shared" si="263"/>
        <v>0</v>
      </c>
      <c r="AR108" s="47">
        <f t="shared" si="263"/>
        <v>0</v>
      </c>
    </row>
    <row r="109" spans="1:44" s="2" customFormat="1" x14ac:dyDescent="0.35">
      <c r="A109" s="91"/>
      <c r="C109" s="48"/>
      <c r="D109" s="25" t="s">
        <v>62</v>
      </c>
      <c r="E109" s="138">
        <v>30</v>
      </c>
      <c r="F109" s="138">
        <v>30.8</v>
      </c>
      <c r="G109" s="46">
        <f t="shared" ref="G109:AR109" si="264">IF(G104&gt;0,+F109*(1+G$6),+IF(G106&gt;0,+F109*(1+G$6)/2,0))</f>
        <v>31.877999999999997</v>
      </c>
      <c r="H109" s="46">
        <f t="shared" si="264"/>
        <v>32.674949999999995</v>
      </c>
      <c r="I109" s="46">
        <f t="shared" si="264"/>
        <v>33.410136374999993</v>
      </c>
      <c r="J109" s="46">
        <f t="shared" si="264"/>
        <v>34.078339102499996</v>
      </c>
      <c r="K109" s="46">
        <f t="shared" si="264"/>
        <v>34.759905884549994</v>
      </c>
      <c r="L109" s="46">
        <f t="shared" si="264"/>
        <v>35.455104002240994</v>
      </c>
      <c r="M109" s="46">
        <f t="shared" si="264"/>
        <v>36.164206082285816</v>
      </c>
      <c r="N109" s="46">
        <f t="shared" si="264"/>
        <v>36.887490203931534</v>
      </c>
      <c r="O109" s="46">
        <f t="shared" si="264"/>
        <v>37.625240008010167</v>
      </c>
      <c r="P109" s="46">
        <f t="shared" si="264"/>
        <v>38.37774480817037</v>
      </c>
      <c r="Q109" s="46">
        <f t="shared" si="264"/>
        <v>39.14529970433378</v>
      </c>
      <c r="R109" s="46">
        <f t="shared" si="264"/>
        <v>39.928205698420456</v>
      </c>
      <c r="S109" s="46">
        <f t="shared" si="264"/>
        <v>40.726769812388866</v>
      </c>
      <c r="T109" s="46">
        <f t="shared" si="264"/>
        <v>41.541305208636643</v>
      </c>
      <c r="U109" s="46">
        <f t="shared" si="264"/>
        <v>42.37213131280938</v>
      </c>
      <c r="V109" s="46">
        <f t="shared" si="264"/>
        <v>43.219573939065569</v>
      </c>
      <c r="W109" s="46">
        <f t="shared" si="264"/>
        <v>44.083965417846883</v>
      </c>
      <c r="X109" s="46">
        <f t="shared" si="264"/>
        <v>44.96564472620382</v>
      </c>
      <c r="Y109" s="46">
        <f t="shared" si="264"/>
        <v>45.8649576207279</v>
      </c>
      <c r="Z109" s="46">
        <f t="shared" si="264"/>
        <v>23.391128386571229</v>
      </c>
      <c r="AA109" s="46">
        <f t="shared" si="264"/>
        <v>0</v>
      </c>
      <c r="AB109" s="46">
        <f t="shared" si="264"/>
        <v>0</v>
      </c>
      <c r="AC109" s="46">
        <f t="shared" si="264"/>
        <v>0</v>
      </c>
      <c r="AD109" s="46">
        <f t="shared" si="264"/>
        <v>0</v>
      </c>
      <c r="AE109" s="46">
        <f t="shared" si="264"/>
        <v>0</v>
      </c>
      <c r="AF109" s="46">
        <f t="shared" si="264"/>
        <v>0</v>
      </c>
      <c r="AG109" s="46">
        <f t="shared" si="264"/>
        <v>0</v>
      </c>
      <c r="AH109" s="46">
        <f t="shared" si="264"/>
        <v>0</v>
      </c>
      <c r="AI109" s="46">
        <f t="shared" si="264"/>
        <v>0</v>
      </c>
      <c r="AJ109" s="46">
        <f t="shared" si="264"/>
        <v>0</v>
      </c>
      <c r="AK109" s="46">
        <f t="shared" si="264"/>
        <v>0</v>
      </c>
      <c r="AL109" s="46">
        <f t="shared" si="264"/>
        <v>0</v>
      </c>
      <c r="AM109" s="46">
        <f t="shared" si="264"/>
        <v>0</v>
      </c>
      <c r="AN109" s="46">
        <f t="shared" si="264"/>
        <v>0</v>
      </c>
      <c r="AO109" s="46">
        <f t="shared" si="264"/>
        <v>0</v>
      </c>
      <c r="AP109" s="46">
        <f t="shared" si="264"/>
        <v>0</v>
      </c>
      <c r="AQ109" s="46">
        <f t="shared" si="264"/>
        <v>0</v>
      </c>
      <c r="AR109" s="2">
        <f t="shared" si="264"/>
        <v>0</v>
      </c>
    </row>
    <row r="110" spans="1:44" s="2" customFormat="1" x14ac:dyDescent="0.35">
      <c r="A110" s="91"/>
      <c r="C110" s="48"/>
      <c r="D110" s="25" t="s">
        <v>16</v>
      </c>
      <c r="E110" s="138"/>
      <c r="F110" s="138"/>
      <c r="G110" s="46">
        <f t="shared" ref="G110:AR110" si="265">+IF(G104&gt;0,F110*(1+F111),0)</f>
        <v>0</v>
      </c>
      <c r="H110" s="46">
        <f t="shared" si="265"/>
        <v>0</v>
      </c>
      <c r="I110" s="46">
        <v>25</v>
      </c>
      <c r="J110" s="46">
        <f t="shared" si="265"/>
        <v>25.5625</v>
      </c>
      <c r="K110" s="46">
        <f t="shared" si="265"/>
        <v>26.07375</v>
      </c>
      <c r="L110" s="46">
        <f t="shared" si="265"/>
        <v>26.595224999999999</v>
      </c>
      <c r="M110" s="46">
        <f t="shared" si="265"/>
        <v>27.127129499999999</v>
      </c>
      <c r="N110" s="46">
        <f t="shared" si="265"/>
        <v>27.669672089999999</v>
      </c>
      <c r="O110" s="46">
        <f t="shared" si="265"/>
        <v>28.2230655318</v>
      </c>
      <c r="P110" s="46">
        <f t="shared" si="265"/>
        <v>28.787526842436002</v>
      </c>
      <c r="Q110" s="46">
        <f t="shared" si="265"/>
        <v>29.363277379284721</v>
      </c>
      <c r="R110" s="46">
        <f t="shared" si="265"/>
        <v>29.950542926870416</v>
      </c>
      <c r="S110" s="46">
        <f t="shared" si="265"/>
        <v>30.549553785407824</v>
      </c>
      <c r="T110" s="46">
        <f t="shared" si="265"/>
        <v>31.16054486111598</v>
      </c>
      <c r="U110" s="46">
        <f t="shared" si="265"/>
        <v>31.783755758338302</v>
      </c>
      <c r="V110" s="46">
        <f t="shared" si="265"/>
        <v>32.419430873505071</v>
      </c>
      <c r="W110" s="46">
        <f t="shared" si="265"/>
        <v>33.067819490975175</v>
      </c>
      <c r="X110" s="46">
        <f t="shared" si="265"/>
        <v>33.729175880794678</v>
      </c>
      <c r="Y110" s="46">
        <f t="shared" si="265"/>
        <v>34.403759398410571</v>
      </c>
      <c r="Z110" s="46">
        <f t="shared" si="265"/>
        <v>0</v>
      </c>
      <c r="AA110" s="46">
        <f t="shared" si="265"/>
        <v>0</v>
      </c>
      <c r="AB110" s="46">
        <f t="shared" si="265"/>
        <v>0</v>
      </c>
      <c r="AC110" s="46">
        <f t="shared" si="265"/>
        <v>0</v>
      </c>
      <c r="AD110" s="46">
        <f t="shared" si="265"/>
        <v>0</v>
      </c>
      <c r="AE110" s="46">
        <f t="shared" si="265"/>
        <v>0</v>
      </c>
      <c r="AF110" s="46">
        <f t="shared" si="265"/>
        <v>0</v>
      </c>
      <c r="AG110" s="46">
        <f t="shared" si="265"/>
        <v>0</v>
      </c>
      <c r="AH110" s="46">
        <f t="shared" si="265"/>
        <v>0</v>
      </c>
      <c r="AI110" s="46">
        <f t="shared" si="265"/>
        <v>0</v>
      </c>
      <c r="AJ110" s="46">
        <f t="shared" si="265"/>
        <v>0</v>
      </c>
      <c r="AK110" s="46">
        <f t="shared" si="265"/>
        <v>0</v>
      </c>
      <c r="AL110" s="46">
        <f t="shared" si="265"/>
        <v>0</v>
      </c>
      <c r="AM110" s="46">
        <f t="shared" si="265"/>
        <v>0</v>
      </c>
      <c r="AN110" s="46">
        <f t="shared" si="265"/>
        <v>0</v>
      </c>
      <c r="AO110" s="46">
        <f t="shared" si="265"/>
        <v>0</v>
      </c>
      <c r="AP110" s="46">
        <f t="shared" si="265"/>
        <v>0</v>
      </c>
      <c r="AQ110" s="46">
        <f t="shared" si="265"/>
        <v>0</v>
      </c>
      <c r="AR110" s="2">
        <f t="shared" si="265"/>
        <v>0</v>
      </c>
    </row>
    <row r="111" spans="1:44" s="3" customFormat="1" x14ac:dyDescent="0.35">
      <c r="A111" s="93"/>
      <c r="C111" s="75"/>
      <c r="D111" s="87" t="s">
        <v>51</v>
      </c>
      <c r="E111" s="143">
        <f t="shared" ref="E111:AR111" si="266">+E$6</f>
        <v>0.05</v>
      </c>
      <c r="F111" s="143">
        <f t="shared" si="266"/>
        <v>0.04</v>
      </c>
      <c r="G111" s="70">
        <f t="shared" si="266"/>
        <v>3.5000000000000003E-2</v>
      </c>
      <c r="H111" s="70">
        <f t="shared" si="266"/>
        <v>2.5000000000000001E-2</v>
      </c>
      <c r="I111" s="70">
        <f t="shared" si="266"/>
        <v>2.2499999999999999E-2</v>
      </c>
      <c r="J111" s="70">
        <f t="shared" si="266"/>
        <v>0.02</v>
      </c>
      <c r="K111" s="70">
        <f t="shared" si="266"/>
        <v>0.02</v>
      </c>
      <c r="L111" s="70">
        <f t="shared" si="266"/>
        <v>0.02</v>
      </c>
      <c r="M111" s="70">
        <f t="shared" si="266"/>
        <v>0.02</v>
      </c>
      <c r="N111" s="70">
        <f t="shared" si="266"/>
        <v>0.02</v>
      </c>
      <c r="O111" s="70">
        <f t="shared" si="266"/>
        <v>0.02</v>
      </c>
      <c r="P111" s="70">
        <f t="shared" si="266"/>
        <v>0.02</v>
      </c>
      <c r="Q111" s="70">
        <f t="shared" si="266"/>
        <v>0.02</v>
      </c>
      <c r="R111" s="70">
        <f t="shared" si="266"/>
        <v>0.02</v>
      </c>
      <c r="S111" s="70">
        <f t="shared" si="266"/>
        <v>0.02</v>
      </c>
      <c r="T111" s="70">
        <f t="shared" si="266"/>
        <v>0.02</v>
      </c>
      <c r="U111" s="70">
        <f t="shared" si="266"/>
        <v>0.02</v>
      </c>
      <c r="V111" s="70">
        <f t="shared" si="266"/>
        <v>0.02</v>
      </c>
      <c r="W111" s="70">
        <f t="shared" si="266"/>
        <v>0.02</v>
      </c>
      <c r="X111" s="70">
        <f t="shared" si="266"/>
        <v>0.02</v>
      </c>
      <c r="Y111" s="70">
        <f t="shared" si="266"/>
        <v>0.02</v>
      </c>
      <c r="Z111" s="70">
        <f t="shared" si="266"/>
        <v>0.02</v>
      </c>
      <c r="AA111" s="70">
        <f t="shared" si="266"/>
        <v>0.02</v>
      </c>
      <c r="AB111" s="70">
        <f t="shared" si="266"/>
        <v>0.02</v>
      </c>
      <c r="AC111" s="70">
        <f t="shared" si="266"/>
        <v>0.02</v>
      </c>
      <c r="AD111" s="70">
        <f t="shared" si="266"/>
        <v>0.02</v>
      </c>
      <c r="AE111" s="70">
        <f t="shared" si="266"/>
        <v>0.02</v>
      </c>
      <c r="AF111" s="70">
        <f t="shared" si="266"/>
        <v>0.02</v>
      </c>
      <c r="AG111" s="70">
        <f t="shared" si="266"/>
        <v>0.02</v>
      </c>
      <c r="AH111" s="70">
        <f t="shared" si="266"/>
        <v>0.02</v>
      </c>
      <c r="AI111" s="70">
        <f t="shared" si="266"/>
        <v>0.02</v>
      </c>
      <c r="AJ111" s="70">
        <f t="shared" si="266"/>
        <v>0.02</v>
      </c>
      <c r="AK111" s="70">
        <f t="shared" si="266"/>
        <v>0.02</v>
      </c>
      <c r="AL111" s="70">
        <f t="shared" si="266"/>
        <v>0.02</v>
      </c>
      <c r="AM111" s="70">
        <f t="shared" si="266"/>
        <v>0.02</v>
      </c>
      <c r="AN111" s="70">
        <f t="shared" si="266"/>
        <v>0.02</v>
      </c>
      <c r="AO111" s="70">
        <f t="shared" si="266"/>
        <v>0.02</v>
      </c>
      <c r="AP111" s="70">
        <f t="shared" si="266"/>
        <v>0.02</v>
      </c>
      <c r="AQ111" s="70">
        <f t="shared" si="266"/>
        <v>0.02</v>
      </c>
      <c r="AR111" s="71">
        <f t="shared" si="266"/>
        <v>0.02</v>
      </c>
    </row>
    <row r="112" spans="1:44" s="2" customFormat="1" x14ac:dyDescent="0.35">
      <c r="A112" s="91"/>
    </row>
    <row r="113" spans="1:44" x14ac:dyDescent="0.35">
      <c r="A113" s="92"/>
      <c r="C113" s="40" t="s">
        <v>101</v>
      </c>
      <c r="D113" s="159" t="s">
        <v>81</v>
      </c>
      <c r="E113" s="134">
        <v>0</v>
      </c>
      <c r="F113" s="134">
        <f t="shared" ref="F113" si="267">+E113*(1+E120)-(F116*(1+E120))-F115</f>
        <v>0</v>
      </c>
      <c r="G113" s="42">
        <f t="shared" ref="G113" si="268">+F113*(1+F120)-(G116*(1+F120))-G115</f>
        <v>3626</v>
      </c>
      <c r="H113" s="42">
        <f t="shared" ref="H113" si="269">+G113*(1+G120)-(H116*(1+G120))-H115</f>
        <v>3752.91</v>
      </c>
      <c r="I113" s="42">
        <f t="shared" ref="I113" si="270">+H113*(1+H120)-(I116*(1+H120))-I115</f>
        <v>3846.7327499999997</v>
      </c>
      <c r="J113" s="42">
        <f t="shared" ref="J113" si="271">+I113*(1+I120)-(J116*(1+I120))-J115</f>
        <v>3933.2842368749994</v>
      </c>
      <c r="K113" s="42">
        <f t="shared" ref="K113" si="272">+J113*(1+J120)-(K116*(1+J120))-K115</f>
        <v>4011.9499216124996</v>
      </c>
      <c r="L113" s="42">
        <f t="shared" ref="L113" si="273">+K113*(1+K120)-(L116*(1+K120))-L115</f>
        <v>4092.1889200447495</v>
      </c>
      <c r="M113" s="42">
        <f t="shared" ref="M113" si="274">+L113*(1+L120)-(M116*(1+L120))-M115</f>
        <v>4174.0326984456442</v>
      </c>
      <c r="N113" s="42">
        <f t="shared" ref="N113" si="275">+M113*(1+M120)-(N116*(1+M120))-N115</f>
        <v>4257.5133524145567</v>
      </c>
      <c r="O113" s="42">
        <f t="shared" ref="O113" si="276">+N113*(1+N120)-(O116*(1+N120))-O115</f>
        <v>4342.6636194628481</v>
      </c>
      <c r="P113" s="42">
        <f t="shared" ref="P113" si="277">+O113*(1+O120)-(P116*(1+O120))-P115</f>
        <v>4429.5168918521049</v>
      </c>
      <c r="Q113" s="42">
        <f t="shared" ref="Q113" si="278">+P113*(1+P120)-(Q116*(1+P120))-Q115</f>
        <v>0</v>
      </c>
      <c r="R113" s="42">
        <f t="shared" ref="R113" si="279">+Q113*(1+Q120)-(R116*(1+Q120))-R115</f>
        <v>0</v>
      </c>
      <c r="S113" s="42">
        <f t="shared" ref="S113" si="280">+R113*(1+R120)-(S116*(1+R120))-S115</f>
        <v>0</v>
      </c>
      <c r="T113" s="42">
        <f t="shared" ref="T113" si="281">+S113*(1+S120)-(T116*(1+S120))-T115</f>
        <v>0</v>
      </c>
      <c r="U113" s="42">
        <f t="shared" ref="U113" si="282">+T113*(1+T120)-(U116*(1+T120))-U115</f>
        <v>0</v>
      </c>
      <c r="V113" s="42">
        <f t="shared" ref="V113" si="283">+U113*(1+U120)-(V116*(1+U120))-V115</f>
        <v>0</v>
      </c>
      <c r="W113" s="42">
        <f t="shared" ref="W113" si="284">+V113*(1+V120)-(W116*(1+V120))-W115</f>
        <v>0</v>
      </c>
      <c r="X113" s="42">
        <f t="shared" ref="X113" si="285">+W113*(1+W120)-(X116*(1+W120))-X115</f>
        <v>0</v>
      </c>
      <c r="Y113" s="42">
        <f t="shared" ref="Y113" si="286">+X113*(1+X120)-(Y116*(1+X120))-Y115</f>
        <v>0</v>
      </c>
      <c r="Z113" s="42">
        <f t="shared" ref="Z113" si="287">+Y113*(1+Y120)-(Z116*(1+Y120))-Z115</f>
        <v>0</v>
      </c>
      <c r="AA113" s="42">
        <f t="shared" ref="AA113" si="288">+Z113*(1+Z120)-(AA116*(1+Z120))-AA115</f>
        <v>0</v>
      </c>
      <c r="AB113" s="42">
        <f t="shared" ref="AB113" si="289">+AA113*(1+AA120)-(AB116*(1+AA120))-AB115</f>
        <v>0</v>
      </c>
      <c r="AC113" s="42">
        <f t="shared" ref="AC113" si="290">+AB113*(1+AB120)-(AC116*(1+AB120))-AC115</f>
        <v>0</v>
      </c>
      <c r="AD113" s="42">
        <f t="shared" ref="AD113" si="291">+AC113*(1+AC120)-(AD116*(1+AC120))-AD115</f>
        <v>0</v>
      </c>
      <c r="AE113" s="42">
        <f t="shared" ref="AE113" si="292">+AD113*(1+AD120)-(AE116*(1+AD120))-AE115</f>
        <v>0</v>
      </c>
      <c r="AF113" s="42">
        <f t="shared" ref="AF113" si="293">+AE113*(1+AE120)-(AF116*(1+AE120))-AF115</f>
        <v>0</v>
      </c>
      <c r="AG113" s="42">
        <f t="shared" ref="AG113" si="294">+AF113*(1+AF120)-(AG116*(1+AF120))-AG115</f>
        <v>0</v>
      </c>
      <c r="AH113" s="42">
        <f t="shared" ref="AH113" si="295">+AG113*(1+AG120)-(AH116*(1+AG120))-AH115</f>
        <v>0</v>
      </c>
      <c r="AI113" s="42">
        <f t="shared" ref="AI113" si="296">+AH113*(1+AH120)-(AI116*(1+AH120))-AI115</f>
        <v>0</v>
      </c>
      <c r="AJ113" s="42">
        <f t="shared" ref="AJ113" si="297">+AI113*(1+AI120)-(AJ116*(1+AI120))-AJ115</f>
        <v>0</v>
      </c>
      <c r="AK113" s="42">
        <f t="shared" ref="AK113:AR113" si="298">+AJ113*(1+AJ120)-(AK116*(1+AJ120))-AK115</f>
        <v>0</v>
      </c>
      <c r="AL113" s="42">
        <f t="shared" si="298"/>
        <v>0</v>
      </c>
      <c r="AM113" s="42">
        <f t="shared" si="298"/>
        <v>0</v>
      </c>
      <c r="AN113" s="42">
        <f t="shared" si="298"/>
        <v>0</v>
      </c>
      <c r="AO113" s="42">
        <f t="shared" si="298"/>
        <v>0</v>
      </c>
      <c r="AP113" s="42">
        <f t="shared" si="298"/>
        <v>0</v>
      </c>
      <c r="AQ113" s="42">
        <f t="shared" si="298"/>
        <v>0</v>
      </c>
      <c r="AR113" s="43">
        <f t="shared" si="298"/>
        <v>0</v>
      </c>
    </row>
    <row r="114" spans="1:44" x14ac:dyDescent="0.35">
      <c r="A114" s="92"/>
      <c r="C114" s="54" t="s">
        <v>85</v>
      </c>
      <c r="D114" s="160" t="s">
        <v>82</v>
      </c>
      <c r="E114" s="138"/>
      <c r="F114" s="138">
        <f t="shared" ref="F114" si="299">IF(E113&gt;0,+E114-F115-(F116*E114/E113),0)</f>
        <v>0</v>
      </c>
      <c r="G114" s="46">
        <f t="shared" ref="G114" si="300">IF(F113&gt;0,+F114-G115-(G116*F114/F113),0)</f>
        <v>0</v>
      </c>
      <c r="H114" s="46">
        <f t="shared" ref="H114" si="301">IF(G113&gt;0,+G114-H115-(H116*G114/G113),0)</f>
        <v>0</v>
      </c>
      <c r="I114" s="46">
        <f t="shared" ref="I114" si="302">IF(H113&gt;0,+H114-I115-(I116*H114/H113),0)</f>
        <v>0</v>
      </c>
      <c r="J114" s="46">
        <f t="shared" ref="J114" si="303">IF(I113&gt;0,+I114-J115-(J116*I114/I113),0)</f>
        <v>0</v>
      </c>
      <c r="K114" s="46">
        <f t="shared" ref="K114" si="304">IF(J113&gt;0,+J114-K115-(K116*J114/J113),0)</f>
        <v>0</v>
      </c>
      <c r="L114" s="46">
        <f t="shared" ref="L114" si="305">IF(K113&gt;0,+K114-L115-(L116*K114/K113),0)</f>
        <v>0</v>
      </c>
      <c r="M114" s="46">
        <f t="shared" ref="M114" si="306">IF(L113&gt;0,+L114-M115-(M116*L114/L113),0)</f>
        <v>0</v>
      </c>
      <c r="N114" s="46">
        <f t="shared" ref="N114" si="307">IF(M113&gt;0,+M114-N115-(N116*M114/M113),0)</f>
        <v>0</v>
      </c>
      <c r="O114" s="46">
        <f t="shared" ref="O114" si="308">IF(N113&gt;0,+N114-O115-(O116*N114/N113),0)</f>
        <v>0</v>
      </c>
      <c r="P114" s="46">
        <f t="shared" ref="P114" si="309">IF(O113&gt;0,+O114-P115-(P116*O114/O113),0)</f>
        <v>0</v>
      </c>
      <c r="Q114" s="46">
        <f t="shared" ref="Q114" si="310">IF(P113&gt;0,+P114-Q115-(Q116*P114/P113),0)</f>
        <v>0</v>
      </c>
      <c r="R114" s="46">
        <f t="shared" ref="R114" si="311">IF(Q113&gt;0,+Q114-R115-(R116*Q114/Q113),0)</f>
        <v>0</v>
      </c>
      <c r="S114" s="46">
        <f t="shared" ref="S114" si="312">IF(R113&gt;0,+R114-S115-(S116*R114/R113),0)</f>
        <v>0</v>
      </c>
      <c r="T114" s="46">
        <f t="shared" ref="T114" si="313">IF(S113&gt;0,+S114-T115-(T116*S114/S113),0)</f>
        <v>0</v>
      </c>
      <c r="U114" s="46">
        <f t="shared" ref="U114" si="314">IF(T113&gt;0,+T114-U115-(U116*T114/T113),0)</f>
        <v>0</v>
      </c>
      <c r="V114" s="46">
        <f t="shared" ref="V114" si="315">IF(U113&gt;0,+U114-V115-(V116*U114/U113),0)</f>
        <v>0</v>
      </c>
      <c r="W114" s="46">
        <f t="shared" ref="W114" si="316">IF(V113&gt;0,+V114-W115-(W116*V114/V113),0)</f>
        <v>0</v>
      </c>
      <c r="X114" s="46">
        <f t="shared" ref="X114" si="317">IF(W113&gt;0,+W114-X115-(X116*W114/W113),0)</f>
        <v>0</v>
      </c>
      <c r="Y114" s="46">
        <f t="shared" ref="Y114" si="318">IF(X113&gt;0,+X114-Y115-(Y116*X114/X113),0)</f>
        <v>0</v>
      </c>
      <c r="Z114" s="46">
        <f t="shared" ref="Z114" si="319">IF(Y113&gt;0,+Y114-Z115-(Z116*Y114/Y113),0)</f>
        <v>0</v>
      </c>
      <c r="AA114" s="46">
        <f t="shared" ref="AA114" si="320">IF(Z113&gt;0,+Z114-AA115-(AA116*Z114/Z113),0)</f>
        <v>0</v>
      </c>
      <c r="AB114" s="46">
        <f t="shared" ref="AB114" si="321">IF(AA113&gt;0,+AA114-AB115-(AB116*AA114/AA113),0)</f>
        <v>0</v>
      </c>
      <c r="AC114" s="46">
        <f t="shared" ref="AC114" si="322">IF(AB113&gt;0,+AB114-AC115-(AC116*AB114/AB113),0)</f>
        <v>0</v>
      </c>
      <c r="AD114" s="46">
        <f t="shared" ref="AD114" si="323">IF(AC113&gt;0,+AC114-AD115-(AD116*AC114/AC113),0)</f>
        <v>0</v>
      </c>
      <c r="AE114" s="46">
        <f t="shared" ref="AE114" si="324">IF(AD113&gt;0,+AD114-AE115-(AE116*AD114/AD113),0)</f>
        <v>0</v>
      </c>
      <c r="AF114" s="46">
        <f t="shared" ref="AF114" si="325">IF(AE113&gt;0,+AE114-AF115-(AF116*AE114/AE113),0)</f>
        <v>0</v>
      </c>
      <c r="AG114" s="46">
        <f t="shared" ref="AG114" si="326">IF(AF113&gt;0,+AF114-AG115-(AG116*AF114/AF113),0)</f>
        <v>0</v>
      </c>
      <c r="AH114" s="46">
        <f t="shared" ref="AH114" si="327">IF(AG113&gt;0,+AG114-AH115-(AH116*AG114/AG113),0)</f>
        <v>0</v>
      </c>
      <c r="AI114" s="46">
        <f t="shared" ref="AI114" si="328">IF(AH113&gt;0,+AH114-AI115-(AI116*AH114/AH113),0)</f>
        <v>0</v>
      </c>
      <c r="AJ114" s="46">
        <f t="shared" ref="AJ114" si="329">IF(AI113&gt;0,+AI114-AJ115-(AJ116*AI114/AI113),0)</f>
        <v>0</v>
      </c>
      <c r="AK114" s="46">
        <f t="shared" ref="AK114:AR114" si="330">IF(AJ113&gt;0,+AJ114-AK115-(AK116*AJ114/AJ113),0)</f>
        <v>0</v>
      </c>
      <c r="AL114" s="46">
        <f t="shared" si="330"/>
        <v>0</v>
      </c>
      <c r="AM114" s="46">
        <f t="shared" si="330"/>
        <v>0</v>
      </c>
      <c r="AN114" s="46">
        <f t="shared" si="330"/>
        <v>0</v>
      </c>
      <c r="AO114" s="46">
        <f t="shared" si="330"/>
        <v>0</v>
      </c>
      <c r="AP114" s="46">
        <f t="shared" si="330"/>
        <v>0</v>
      </c>
      <c r="AQ114" s="46">
        <f t="shared" si="330"/>
        <v>0</v>
      </c>
      <c r="AR114" s="47">
        <f t="shared" si="330"/>
        <v>0</v>
      </c>
    </row>
    <row r="115" spans="1:44" s="2" customFormat="1" x14ac:dyDescent="0.35">
      <c r="A115" s="91"/>
      <c r="C115" s="155"/>
      <c r="D115" s="160" t="s">
        <v>73</v>
      </c>
      <c r="E115" s="147"/>
      <c r="F115" s="141">
        <v>0</v>
      </c>
      <c r="G115" s="84">
        <f>-4500+874</f>
        <v>-3626</v>
      </c>
      <c r="H115" s="84">
        <v>0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</row>
    <row r="116" spans="1:44" s="2" customFormat="1" x14ac:dyDescent="0.35">
      <c r="A116" s="91"/>
      <c r="C116" s="155"/>
      <c r="D116" s="160" t="s">
        <v>86</v>
      </c>
      <c r="E116" s="147"/>
      <c r="F116" s="141"/>
      <c r="G116" s="84">
        <v>0</v>
      </c>
      <c r="H116" s="84"/>
      <c r="I116" s="84"/>
      <c r="J116" s="84"/>
      <c r="K116" s="84"/>
      <c r="L116" s="84">
        <v>0</v>
      </c>
      <c r="M116" s="84"/>
      <c r="N116" s="84"/>
      <c r="O116" s="84"/>
      <c r="P116" s="84"/>
      <c r="Q116" s="84">
        <f>+P113</f>
        <v>4429.5168918521049</v>
      </c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>
        <v>0</v>
      </c>
      <c r="AJ116" s="84"/>
      <c r="AK116" s="84"/>
      <c r="AL116" s="84"/>
      <c r="AM116" s="84"/>
      <c r="AN116" s="84"/>
      <c r="AO116" s="84"/>
      <c r="AP116" s="84"/>
      <c r="AQ116" s="84"/>
      <c r="AR116" s="84"/>
    </row>
    <row r="117" spans="1:44" s="2" customFormat="1" x14ac:dyDescent="0.35">
      <c r="A117" s="91"/>
      <c r="C117" s="155"/>
      <c r="D117" s="160" t="s">
        <v>83</v>
      </c>
      <c r="E117" s="147"/>
      <c r="F117" s="138">
        <f t="shared" ref="F117" si="331">IF(E114&gt;0,+F116-(F116*E115/E114),+F116)</f>
        <v>0</v>
      </c>
      <c r="G117" s="46">
        <f t="shared" ref="G117" si="332">IF(F114&gt;0,+G116-(G116*F115/F114),+G116)</f>
        <v>0</v>
      </c>
      <c r="H117" s="46">
        <f t="shared" ref="H117" si="333">IF(G114&gt;0,+H116-(H116*G115/G114),+H116)</f>
        <v>0</v>
      </c>
      <c r="I117" s="46">
        <f t="shared" ref="I117" si="334">IF(H114&gt;0,+I116-(I116*H115/H114),+I116)</f>
        <v>0</v>
      </c>
      <c r="J117" s="46">
        <f t="shared" ref="J117" si="335">IF(I114&gt;0,+J116-(J116*I115/I114),+J116)</f>
        <v>0</v>
      </c>
      <c r="K117" s="46">
        <f t="shared" ref="K117" si="336">IF(J114&gt;0,+K116-(K116*J115/J114),+K116)</f>
        <v>0</v>
      </c>
      <c r="L117" s="46">
        <f t="shared" ref="L117" si="337">IF(K114&gt;0,+L116-(L116*K115/K114),+L116)</f>
        <v>0</v>
      </c>
      <c r="M117" s="46">
        <f t="shared" ref="M117" si="338">IF(L114&gt;0,+M116-(M116*L115/L114),+M116)</f>
        <v>0</v>
      </c>
      <c r="N117" s="46">
        <f t="shared" ref="N117" si="339">IF(M114&gt;0,+N116-(N116*M115/M114),+N116)</f>
        <v>0</v>
      </c>
      <c r="O117" s="46">
        <f t="shared" ref="O117" si="340">IF(N114&gt;0,+O116-(O116*N115/N114),+O116)</f>
        <v>0</v>
      </c>
      <c r="P117" s="46">
        <f t="shared" ref="P117" si="341">IF(O114&gt;0,+P116-(P116*O115/O114),+P116)</f>
        <v>0</v>
      </c>
      <c r="Q117" s="46">
        <f t="shared" ref="Q117" si="342">IF(P114&gt;0,+Q116-(Q116*P115/P114),+Q116)</f>
        <v>4429.5168918521049</v>
      </c>
      <c r="R117" s="46">
        <f t="shared" ref="R117" si="343">IF(Q114&gt;0,+R116-(R116*Q115/Q114),+R116)</f>
        <v>0</v>
      </c>
      <c r="S117" s="46">
        <f t="shared" ref="S117" si="344">IF(R114&gt;0,+S116-(S116*R115/R114),+S116)</f>
        <v>0</v>
      </c>
      <c r="T117" s="46">
        <f t="shared" ref="T117" si="345">IF(S114&gt;0,+T116-(T116*S115/S114),+T116)</f>
        <v>0</v>
      </c>
      <c r="U117" s="46">
        <f t="shared" ref="U117" si="346">IF(T114&gt;0,+U116-(U116*T115/T114),+U116)</f>
        <v>0</v>
      </c>
      <c r="V117" s="46">
        <f t="shared" ref="V117" si="347">IF(U114&gt;0,+V116-(V116*U115/U114),+V116)</f>
        <v>0</v>
      </c>
      <c r="W117" s="46">
        <f t="shared" ref="W117" si="348">IF(V114&gt;0,+W116-(W116*V115/V114),+W116)</f>
        <v>0</v>
      </c>
      <c r="X117" s="46">
        <f t="shared" ref="X117" si="349">IF(W114&gt;0,+X116-(X116*W115/W114),+X116)</f>
        <v>0</v>
      </c>
      <c r="Y117" s="46">
        <f t="shared" ref="Y117" si="350">IF(X114&gt;0,+Y116-(Y116*X115/X114),+Y116)</f>
        <v>0</v>
      </c>
      <c r="Z117" s="46">
        <f t="shared" ref="Z117" si="351">IF(Y114&gt;0,+Z116-(Z116*Y115/Y114),+Z116)</f>
        <v>0</v>
      </c>
      <c r="AA117" s="46">
        <f t="shared" ref="AA117" si="352">IF(Z114&gt;0,+AA116-(AA116*Z115/Z114),+AA116)</f>
        <v>0</v>
      </c>
      <c r="AB117" s="46">
        <f t="shared" ref="AB117" si="353">IF(AA114&gt;0,+AB116-(AB116*AA115/AA114),+AB116)</f>
        <v>0</v>
      </c>
      <c r="AC117" s="46">
        <f t="shared" ref="AC117" si="354">IF(AB114&gt;0,+AC116-(AC116*AB115/AB114),+AC116)</f>
        <v>0</v>
      </c>
      <c r="AD117" s="46">
        <f t="shared" ref="AD117" si="355">IF(AC114&gt;0,+AD116-(AD116*AC115/AC114),+AD116)</f>
        <v>0</v>
      </c>
      <c r="AE117" s="46">
        <f t="shared" ref="AE117" si="356">IF(AD114&gt;0,+AE116-(AE116*AD115/AD114),+AE116)</f>
        <v>0</v>
      </c>
      <c r="AF117" s="46">
        <f t="shared" ref="AF117" si="357">IF(AE114&gt;0,+AF116-(AF116*AE115/AE114),+AF116)</f>
        <v>0</v>
      </c>
      <c r="AG117" s="46">
        <f t="shared" ref="AG117" si="358">IF(AF114&gt;0,+AG116-(AG116*AF115/AF114),+AG116)</f>
        <v>0</v>
      </c>
      <c r="AH117" s="46">
        <f t="shared" ref="AH117" si="359">IF(AG114&gt;0,+AH116-(AH116*AG115/AG114),+AH116)</f>
        <v>0</v>
      </c>
      <c r="AI117" s="46">
        <f t="shared" ref="AI117" si="360">IF(AH114&gt;0,+AI116-(AI116*AH115/AH114),+AI116)</f>
        <v>0</v>
      </c>
      <c r="AJ117" s="46">
        <f t="shared" ref="AJ117" si="361">IF(AI114&gt;0,+AJ116-(AJ116*AI115/AI114),+AJ116)</f>
        <v>0</v>
      </c>
      <c r="AK117" s="46">
        <f t="shared" ref="AK117:AR117" si="362">IF(AJ114&gt;0,+AK116-(AK116*AJ115/AJ114),+AK116)</f>
        <v>0</v>
      </c>
      <c r="AL117" s="46">
        <f t="shared" si="362"/>
        <v>0</v>
      </c>
      <c r="AM117" s="46">
        <f t="shared" si="362"/>
        <v>0</v>
      </c>
      <c r="AN117" s="46">
        <f t="shared" si="362"/>
        <v>0</v>
      </c>
      <c r="AO117" s="46">
        <f t="shared" si="362"/>
        <v>0</v>
      </c>
      <c r="AP117" s="46">
        <f t="shared" si="362"/>
        <v>0</v>
      </c>
      <c r="AQ117" s="46">
        <f t="shared" si="362"/>
        <v>0</v>
      </c>
      <c r="AR117" s="47">
        <f t="shared" si="362"/>
        <v>0</v>
      </c>
    </row>
    <row r="118" spans="1:44" s="2" customFormat="1" x14ac:dyDescent="0.35">
      <c r="A118" s="91"/>
      <c r="C118" s="155"/>
      <c r="D118" s="25" t="s">
        <v>1</v>
      </c>
      <c r="E118" s="138"/>
      <c r="F118" s="138">
        <f t="shared" ref="F118" si="363">IF(E117&gt;0,+E117*0.25,0)</f>
        <v>0</v>
      </c>
      <c r="G118" s="46">
        <f t="shared" ref="G118" si="364">IF(F117&gt;0,+F117*0.25,0)</f>
        <v>0</v>
      </c>
      <c r="H118" s="46">
        <f t="shared" ref="H118" si="365">IF(G117&gt;0,+G117*0.25,0)</f>
        <v>0</v>
      </c>
      <c r="I118" s="46">
        <f t="shared" ref="I118" si="366">IF(H117&gt;0,+H117*0.25,0)</f>
        <v>0</v>
      </c>
      <c r="J118" s="46">
        <f t="shared" ref="J118" si="367">IF(I117&gt;0,+I117*0.25,0)</f>
        <v>0</v>
      </c>
      <c r="K118" s="46">
        <f t="shared" ref="K118" si="368">IF(J117&gt;0,+J117*0.25,0)</f>
        <v>0</v>
      </c>
      <c r="L118" s="46">
        <f t="shared" ref="L118" si="369">IF(K117&gt;0,+K117*0.25,0)</f>
        <v>0</v>
      </c>
      <c r="M118" s="46">
        <f t="shared" ref="M118" si="370">IF(L117&gt;0,+L117*0.25,0)</f>
        <v>0</v>
      </c>
      <c r="N118" s="46">
        <f t="shared" ref="N118" si="371">IF(M117&gt;0,+M117*0.25,0)</f>
        <v>0</v>
      </c>
      <c r="O118" s="46">
        <f t="shared" ref="O118" si="372">IF(N117&gt;0,+N117*0.25,0)</f>
        <v>0</v>
      </c>
      <c r="P118" s="46">
        <f t="shared" ref="P118" si="373">IF(O117&gt;0,+O117*0.25,0)</f>
        <v>0</v>
      </c>
      <c r="Q118" s="46">
        <f t="shared" ref="Q118" si="374">IF(P117&gt;0,+P117*0.25,0)</f>
        <v>0</v>
      </c>
      <c r="R118" s="46">
        <f t="shared" ref="R118" si="375">IF(Q117&gt;0,+Q117*0.25,0)</f>
        <v>1107.3792229630262</v>
      </c>
      <c r="S118" s="46">
        <f t="shared" ref="S118" si="376">IF(R117&gt;0,+R117*0.25,0)</f>
        <v>0</v>
      </c>
      <c r="T118" s="46">
        <f t="shared" ref="T118" si="377">IF(S117&gt;0,+S117*0.25,0)</f>
        <v>0</v>
      </c>
      <c r="U118" s="46">
        <f t="shared" ref="U118" si="378">IF(T117&gt;0,+T117*0.25,0)</f>
        <v>0</v>
      </c>
      <c r="V118" s="46">
        <f t="shared" ref="V118" si="379">IF(U117&gt;0,+U117*0.25,0)</f>
        <v>0</v>
      </c>
      <c r="W118" s="46">
        <f t="shared" ref="W118" si="380">IF(V117&gt;0,+V117*0.25,0)</f>
        <v>0</v>
      </c>
      <c r="X118" s="46">
        <f t="shared" ref="X118" si="381">IF(W117&gt;0,+W117*0.25,0)</f>
        <v>0</v>
      </c>
      <c r="Y118" s="46">
        <f t="shared" ref="Y118" si="382">IF(X117&gt;0,+X117*0.25,0)</f>
        <v>0</v>
      </c>
      <c r="Z118" s="46">
        <f t="shared" ref="Z118" si="383">IF(Y117&gt;0,+Y117*0.25,0)</f>
        <v>0</v>
      </c>
      <c r="AA118" s="46">
        <f t="shared" ref="AA118" si="384">IF(Z117&gt;0,+Z117*0.25,0)</f>
        <v>0</v>
      </c>
      <c r="AB118" s="46">
        <f t="shared" ref="AB118" si="385">IF(AA117&gt;0,+AA117*0.25,0)</f>
        <v>0</v>
      </c>
      <c r="AC118" s="46">
        <f t="shared" ref="AC118" si="386">IF(AB117&gt;0,+AB117*0.25,0)</f>
        <v>0</v>
      </c>
      <c r="AD118" s="46">
        <f t="shared" ref="AD118" si="387">IF(AC117&gt;0,+AC117*0.25,0)</f>
        <v>0</v>
      </c>
      <c r="AE118" s="46">
        <f t="shared" ref="AE118" si="388">IF(AD117&gt;0,+AD117*0.25,0)</f>
        <v>0</v>
      </c>
      <c r="AF118" s="46">
        <f t="shared" ref="AF118" si="389">IF(AE117&gt;0,+AE117*0.25,0)</f>
        <v>0</v>
      </c>
      <c r="AG118" s="46">
        <f t="shared" ref="AG118" si="390">IF(AF117&gt;0,+AF117*0.25,0)</f>
        <v>0</v>
      </c>
      <c r="AH118" s="46">
        <f t="shared" ref="AH118" si="391">IF(AG117&gt;0,+AG117*0.25,0)</f>
        <v>0</v>
      </c>
      <c r="AI118" s="46">
        <f t="shared" ref="AI118" si="392">IF(AH117&gt;0,+AH117*0.25,0)</f>
        <v>0</v>
      </c>
      <c r="AJ118" s="46">
        <f t="shared" ref="AJ118" si="393">IF(AI117&gt;0,+AI117*0.25,0)</f>
        <v>0</v>
      </c>
      <c r="AK118" s="46">
        <f t="shared" ref="AK118:AR118" si="394">IF(AJ117&gt;0,+AJ117*0.25,0)</f>
        <v>0</v>
      </c>
      <c r="AL118" s="46">
        <f t="shared" si="394"/>
        <v>0</v>
      </c>
      <c r="AM118" s="46">
        <f t="shared" si="394"/>
        <v>0</v>
      </c>
      <c r="AN118" s="46">
        <f t="shared" si="394"/>
        <v>0</v>
      </c>
      <c r="AO118" s="46">
        <f t="shared" si="394"/>
        <v>0</v>
      </c>
      <c r="AP118" s="46">
        <f t="shared" si="394"/>
        <v>0</v>
      </c>
      <c r="AQ118" s="46">
        <f t="shared" si="394"/>
        <v>0</v>
      </c>
      <c r="AR118" s="47">
        <f t="shared" si="394"/>
        <v>0</v>
      </c>
    </row>
    <row r="119" spans="1:44" s="2" customFormat="1" x14ac:dyDescent="0.35">
      <c r="A119" s="91"/>
      <c r="C119" s="155"/>
      <c r="D119" s="25" t="s">
        <v>102</v>
      </c>
      <c r="E119" s="138"/>
      <c r="F119" s="138"/>
      <c r="G119" s="46">
        <v>0</v>
      </c>
      <c r="H119" s="46">
        <f>290*0.75</f>
        <v>217.5</v>
      </c>
      <c r="I119" s="46">
        <v>290</v>
      </c>
      <c r="J119" s="46">
        <f t="shared" ref="J119" si="395">IF(J113&gt;0,+I119*(1+J$6),+IF(J116&gt;0,+I119*(1+J$6)/2,0))</f>
        <v>295.8</v>
      </c>
      <c r="K119" s="46">
        <f t="shared" ref="K119" si="396">IF(K113&gt;0,+J119*(1+K$6),+IF(K116&gt;0,+J119*(1+K$6)/2,0))</f>
        <v>301.71600000000001</v>
      </c>
      <c r="L119" s="46">
        <f t="shared" ref="L119" si="397">IF(L113&gt;0,+K119*(1+L$6),+IF(L116&gt;0,+K119*(1+L$6)/2,0))</f>
        <v>307.75031999999999</v>
      </c>
      <c r="M119" s="46">
        <f t="shared" ref="M119" si="398">IF(M113&gt;0,+L119*(1+M$6),+IF(M116&gt;0,+L119*(1+M$6)/2,0))</f>
        <v>313.90532639999998</v>
      </c>
      <c r="N119" s="46">
        <f t="shared" ref="N119" si="399">IF(N113&gt;0,+M119*(1+N$6),+IF(N116&gt;0,+M119*(1+N$6)/2,0))</f>
        <v>320.183432928</v>
      </c>
      <c r="O119" s="46">
        <f t="shared" ref="O119" si="400">IF(O113&gt;0,+N119*(1+O$6),+IF(O116&gt;0,+N119*(1+O$6)/2,0))</f>
        <v>326.58710158655998</v>
      </c>
      <c r="P119" s="46">
        <f t="shared" ref="P119" si="401">IF(P113&gt;0,+O119*(1+P$6),+IF(P116&gt;0,+O119*(1+P$6)/2,0))</f>
        <v>333.11884361829118</v>
      </c>
      <c r="Q119" s="46">
        <f t="shared" ref="Q119" si="402">IF(Q113&gt;0,+P119*(1+Q$6),+IF(Q116&gt;0,+P119*(1+Q$6)/2,0))</f>
        <v>169.8906102453285</v>
      </c>
      <c r="R119" s="46">
        <f t="shared" ref="R119" si="403">IF(R113&gt;0,+Q119*(1+R$6),+IF(R116&gt;0,+Q119*(1+R$6)/2,0))</f>
        <v>0</v>
      </c>
      <c r="S119" s="46">
        <f t="shared" ref="S119" si="404">IF(S113&gt;0,+R119*(1+S$6),+IF(S116&gt;0,+R119*(1+S$6)/2,0))</f>
        <v>0</v>
      </c>
      <c r="T119" s="46">
        <f t="shared" ref="T119" si="405">IF(T113&gt;0,+S119*(1+T$6),+IF(T116&gt;0,+S119*(1+T$6)/2,0))</f>
        <v>0</v>
      </c>
      <c r="U119" s="46">
        <f t="shared" ref="U119" si="406">IF(U113&gt;0,+T119*(1+U$6),+IF(U116&gt;0,+T119*(1+U$6)/2,0))</f>
        <v>0</v>
      </c>
      <c r="V119" s="46">
        <f t="shared" ref="V119" si="407">IF(V113&gt;0,+U119*(1+V$6),+IF(V116&gt;0,+U119*(1+V$6)/2,0))</f>
        <v>0</v>
      </c>
      <c r="W119" s="46">
        <f t="shared" ref="W119" si="408">IF(W113&gt;0,+V119*(1+W$6),+IF(W116&gt;0,+V119*(1+W$6)/2,0))</f>
        <v>0</v>
      </c>
      <c r="X119" s="46">
        <f t="shared" ref="X119" si="409">IF(X113&gt;0,+W119*(1+X$6),+IF(X116&gt;0,+W119*(1+X$6)/2,0))</f>
        <v>0</v>
      </c>
      <c r="Y119" s="46">
        <f t="shared" ref="Y119" si="410">IF(Y113&gt;0,+X119*(1+Y$6),+IF(Y116&gt;0,+X119*(1+Y$6)/2,0))</f>
        <v>0</v>
      </c>
      <c r="Z119" s="46">
        <f t="shared" ref="Z119" si="411">IF(Z113&gt;0,+Y119*(1+Z$6),+IF(Z116&gt;0,+Y119*(1+Z$6)/2,0))</f>
        <v>0</v>
      </c>
      <c r="AA119" s="46">
        <f t="shared" ref="AA119" si="412">IF(AA113&gt;0,+Z119*(1+AA$6),+IF(AA116&gt;0,+Z119*(1+AA$6)/2,0))</f>
        <v>0</v>
      </c>
      <c r="AB119" s="46">
        <f t="shared" ref="AB119" si="413">IF(AB113&gt;0,+AA119*(1+AB$6),+IF(AB116&gt;0,+AA119*(1+AB$6)/2,0))</f>
        <v>0</v>
      </c>
      <c r="AC119" s="46">
        <f t="shared" ref="AC119" si="414">IF(AC113&gt;0,+AB119*(1+AC$6),+IF(AC116&gt;0,+AB119*(1+AC$6)/2,0))</f>
        <v>0</v>
      </c>
      <c r="AD119" s="46">
        <f t="shared" ref="AD119" si="415">IF(AD113&gt;0,+AC119*(1+AD$6),+IF(AD116&gt;0,+AC119*(1+AD$6)/2,0))</f>
        <v>0</v>
      </c>
      <c r="AE119" s="46">
        <f t="shared" ref="AE119" si="416">IF(AE113&gt;0,+AD119*(1+AE$6),+IF(AE116&gt;0,+AD119*(1+AE$6)/2,0))</f>
        <v>0</v>
      </c>
      <c r="AF119" s="46">
        <f t="shared" ref="AF119" si="417">IF(AF113&gt;0,+AE119*(1+AF$6),+IF(AF116&gt;0,+AE119*(1+AF$6)/2,0))</f>
        <v>0</v>
      </c>
      <c r="AG119" s="46">
        <f t="shared" ref="AG119" si="418">IF(AG113&gt;0,+AF119*(1+AG$6),+IF(AG116&gt;0,+AF119*(1+AG$6)/2,0))</f>
        <v>0</v>
      </c>
      <c r="AH119" s="46">
        <f t="shared" ref="AH119" si="419">IF(AH113&gt;0,+AG119*(1+AH$6),+IF(AH116&gt;0,+AG119*(1+AH$6)/2,0))</f>
        <v>0</v>
      </c>
      <c r="AI119" s="46">
        <f t="shared" ref="AI119" si="420">IF(AI113&gt;0,+AH119*(1+AI$6),+IF(AI116&gt;0,+AH119*(1+AI$6)/2,0))</f>
        <v>0</v>
      </c>
      <c r="AJ119" s="46">
        <f t="shared" ref="AJ119" si="421">IF(AJ113&gt;0,+AI119*(1+AJ$6),+IF(AJ116&gt;0,+AI119*(1+AJ$6)/2,0))</f>
        <v>0</v>
      </c>
      <c r="AK119" s="46">
        <f t="shared" ref="AK119:AR119" si="422">IF(AK113&gt;0,+AJ119*(1+AK$6),+IF(AK116&gt;0,+AJ119*(1+AK$6)/2,0))</f>
        <v>0</v>
      </c>
      <c r="AL119" s="46">
        <f t="shared" si="422"/>
        <v>0</v>
      </c>
      <c r="AM119" s="46">
        <f t="shared" si="422"/>
        <v>0</v>
      </c>
      <c r="AN119" s="46">
        <f t="shared" si="422"/>
        <v>0</v>
      </c>
      <c r="AO119" s="46">
        <f t="shared" si="422"/>
        <v>0</v>
      </c>
      <c r="AP119" s="46">
        <f t="shared" si="422"/>
        <v>0</v>
      </c>
      <c r="AQ119" s="46">
        <f t="shared" si="422"/>
        <v>0</v>
      </c>
      <c r="AR119" s="47">
        <f t="shared" si="422"/>
        <v>0</v>
      </c>
    </row>
    <row r="120" spans="1:44" s="3" customFormat="1" x14ac:dyDescent="0.35">
      <c r="A120" s="93"/>
      <c r="C120" s="157"/>
      <c r="D120" s="158" t="s">
        <v>51</v>
      </c>
      <c r="E120" s="143">
        <f>+E$6</f>
        <v>0.05</v>
      </c>
      <c r="F120" s="143">
        <f t="shared" ref="F120:AR120" si="423">+F$6</f>
        <v>0.04</v>
      </c>
      <c r="G120" s="70">
        <f t="shared" si="423"/>
        <v>3.5000000000000003E-2</v>
      </c>
      <c r="H120" s="70">
        <f t="shared" si="423"/>
        <v>2.5000000000000001E-2</v>
      </c>
      <c r="I120" s="70">
        <f t="shared" si="423"/>
        <v>2.2499999999999999E-2</v>
      </c>
      <c r="J120" s="70">
        <f t="shared" si="423"/>
        <v>0.02</v>
      </c>
      <c r="K120" s="70">
        <f t="shared" si="423"/>
        <v>0.02</v>
      </c>
      <c r="L120" s="70">
        <f t="shared" si="423"/>
        <v>0.02</v>
      </c>
      <c r="M120" s="70">
        <f t="shared" si="423"/>
        <v>0.02</v>
      </c>
      <c r="N120" s="70">
        <f t="shared" si="423"/>
        <v>0.02</v>
      </c>
      <c r="O120" s="70">
        <f t="shared" si="423"/>
        <v>0.02</v>
      </c>
      <c r="P120" s="70">
        <f t="shared" si="423"/>
        <v>0.02</v>
      </c>
      <c r="Q120" s="70">
        <f t="shared" si="423"/>
        <v>0.02</v>
      </c>
      <c r="R120" s="70">
        <f t="shared" si="423"/>
        <v>0.02</v>
      </c>
      <c r="S120" s="70">
        <f t="shared" si="423"/>
        <v>0.02</v>
      </c>
      <c r="T120" s="70">
        <f t="shared" si="423"/>
        <v>0.02</v>
      </c>
      <c r="U120" s="70">
        <f t="shared" si="423"/>
        <v>0.02</v>
      </c>
      <c r="V120" s="70">
        <f t="shared" si="423"/>
        <v>0.02</v>
      </c>
      <c r="W120" s="70">
        <f t="shared" si="423"/>
        <v>0.02</v>
      </c>
      <c r="X120" s="70">
        <f t="shared" si="423"/>
        <v>0.02</v>
      </c>
      <c r="Y120" s="70">
        <f t="shared" si="423"/>
        <v>0.02</v>
      </c>
      <c r="Z120" s="70">
        <f t="shared" si="423"/>
        <v>0.02</v>
      </c>
      <c r="AA120" s="70">
        <f t="shared" si="423"/>
        <v>0.02</v>
      </c>
      <c r="AB120" s="70">
        <f t="shared" si="423"/>
        <v>0.02</v>
      </c>
      <c r="AC120" s="70">
        <f t="shared" si="423"/>
        <v>0.02</v>
      </c>
      <c r="AD120" s="70">
        <f t="shared" si="423"/>
        <v>0.02</v>
      </c>
      <c r="AE120" s="70">
        <f t="shared" si="423"/>
        <v>0.02</v>
      </c>
      <c r="AF120" s="70">
        <f t="shared" si="423"/>
        <v>0.02</v>
      </c>
      <c r="AG120" s="70">
        <f t="shared" si="423"/>
        <v>0.02</v>
      </c>
      <c r="AH120" s="70">
        <f t="shared" si="423"/>
        <v>0.02</v>
      </c>
      <c r="AI120" s="70">
        <f t="shared" si="423"/>
        <v>0.02</v>
      </c>
      <c r="AJ120" s="70">
        <f t="shared" si="423"/>
        <v>0.02</v>
      </c>
      <c r="AK120" s="70">
        <f t="shared" si="423"/>
        <v>0.02</v>
      </c>
      <c r="AL120" s="70">
        <f t="shared" si="423"/>
        <v>0.02</v>
      </c>
      <c r="AM120" s="70">
        <f t="shared" si="423"/>
        <v>0.02</v>
      </c>
      <c r="AN120" s="70">
        <f t="shared" si="423"/>
        <v>0.02</v>
      </c>
      <c r="AO120" s="70">
        <f t="shared" si="423"/>
        <v>0.02</v>
      </c>
      <c r="AP120" s="70">
        <f t="shared" si="423"/>
        <v>0.02</v>
      </c>
      <c r="AQ120" s="70">
        <f t="shared" si="423"/>
        <v>0.02</v>
      </c>
      <c r="AR120" s="71">
        <f t="shared" si="423"/>
        <v>0.02</v>
      </c>
    </row>
    <row r="121" spans="1:44" x14ac:dyDescent="0.35">
      <c r="A121" s="9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</row>
    <row r="122" spans="1:44" x14ac:dyDescent="0.35">
      <c r="A122" s="92"/>
      <c r="C122" s="40" t="s">
        <v>105</v>
      </c>
      <c r="D122" s="85" t="s">
        <v>81</v>
      </c>
      <c r="E122" s="134">
        <v>0</v>
      </c>
      <c r="F122" s="134">
        <f t="shared" ref="F122:AR122" si="424">+E122*(1+E129)-(F125*(1+E129))-F124</f>
        <v>0</v>
      </c>
      <c r="G122" s="42">
        <f t="shared" si="424"/>
        <v>0</v>
      </c>
      <c r="H122" s="42">
        <v>1000</v>
      </c>
      <c r="I122" s="42">
        <f t="shared" si="424"/>
        <v>1025</v>
      </c>
      <c r="J122" s="42">
        <f t="shared" si="424"/>
        <v>1048.0625</v>
      </c>
      <c r="K122" s="42">
        <f t="shared" si="424"/>
        <v>1069.0237500000001</v>
      </c>
      <c r="L122" s="42">
        <f t="shared" si="424"/>
        <v>1090.404225</v>
      </c>
      <c r="M122" s="42">
        <f t="shared" si="424"/>
        <v>1112.2123094999999</v>
      </c>
      <c r="N122" s="42">
        <f t="shared" si="424"/>
        <v>1134.45655569</v>
      </c>
      <c r="O122" s="42">
        <f t="shared" si="424"/>
        <v>1157.1456868037999</v>
      </c>
      <c r="P122" s="42">
        <f t="shared" si="424"/>
        <v>1180.2886005398759</v>
      </c>
      <c r="Q122" s="42">
        <f t="shared" si="424"/>
        <v>1203.8943725506736</v>
      </c>
      <c r="R122" s="42">
        <f t="shared" si="424"/>
        <v>1227.9722600016871</v>
      </c>
      <c r="S122" s="42">
        <f t="shared" si="424"/>
        <v>1252.5317052017208</v>
      </c>
      <c r="T122" s="42">
        <f t="shared" si="424"/>
        <v>1277.5823393057553</v>
      </c>
      <c r="U122" s="42">
        <f t="shared" si="424"/>
        <v>1303.1339860918704</v>
      </c>
      <c r="V122" s="42">
        <f t="shared" si="424"/>
        <v>1329.1966658137078</v>
      </c>
      <c r="W122" s="42">
        <f t="shared" si="424"/>
        <v>1355.780599129982</v>
      </c>
      <c r="X122" s="42">
        <f t="shared" si="424"/>
        <v>1382.8962111125816</v>
      </c>
      <c r="Y122" s="42">
        <f t="shared" si="424"/>
        <v>1410.5541353348333</v>
      </c>
      <c r="Z122" s="42">
        <f t="shared" si="424"/>
        <v>1438.76521804153</v>
      </c>
      <c r="AA122" s="42">
        <f t="shared" si="424"/>
        <v>1467.5405224023607</v>
      </c>
      <c r="AB122" s="42">
        <f t="shared" si="424"/>
        <v>1496.8913328504079</v>
      </c>
      <c r="AC122" s="42">
        <f t="shared" si="424"/>
        <v>1526.8291595074161</v>
      </c>
      <c r="AD122" s="42">
        <f t="shared" si="424"/>
        <v>1557.3657426975644</v>
      </c>
      <c r="AE122" s="42">
        <f t="shared" si="424"/>
        <v>1588.5130575515157</v>
      </c>
      <c r="AF122" s="42">
        <f t="shared" si="424"/>
        <v>1620.283318702546</v>
      </c>
      <c r="AG122" s="42">
        <f t="shared" si="424"/>
        <v>1652.688985076597</v>
      </c>
      <c r="AH122" s="42">
        <f t="shared" si="424"/>
        <v>1685.742764778129</v>
      </c>
      <c r="AI122" s="42">
        <f t="shared" si="424"/>
        <v>1719.4576200736915</v>
      </c>
      <c r="AJ122" s="42">
        <f t="shared" si="424"/>
        <v>1753.8467724751654</v>
      </c>
      <c r="AK122" s="42">
        <f t="shared" si="424"/>
        <v>1788.9237079246686</v>
      </c>
      <c r="AL122" s="42">
        <f t="shared" si="424"/>
        <v>1824.7021820831621</v>
      </c>
      <c r="AM122" s="42">
        <f t="shared" si="424"/>
        <v>1861.1962257248254</v>
      </c>
      <c r="AN122" s="42">
        <f t="shared" si="424"/>
        <v>0</v>
      </c>
      <c r="AO122" s="42">
        <f t="shared" si="424"/>
        <v>0</v>
      </c>
      <c r="AP122" s="42">
        <f t="shared" si="424"/>
        <v>0</v>
      </c>
      <c r="AQ122" s="42">
        <f t="shared" si="424"/>
        <v>0</v>
      </c>
      <c r="AR122" s="43">
        <f t="shared" si="424"/>
        <v>0</v>
      </c>
    </row>
    <row r="123" spans="1:44" x14ac:dyDescent="0.35">
      <c r="A123" s="92"/>
      <c r="C123" s="54" t="s">
        <v>87</v>
      </c>
      <c r="D123" s="49" t="s">
        <v>82</v>
      </c>
      <c r="E123" s="138"/>
      <c r="F123" s="138">
        <f t="shared" ref="F123:AR123" si="425">IF(E122&gt;0,+E123-F124-(F125*E123/E122),0)</f>
        <v>0</v>
      </c>
      <c r="G123" s="46">
        <f t="shared" si="425"/>
        <v>0</v>
      </c>
      <c r="H123" s="46">
        <f t="shared" si="425"/>
        <v>0</v>
      </c>
      <c r="I123" s="46">
        <f t="shared" si="425"/>
        <v>0</v>
      </c>
      <c r="J123" s="46">
        <f t="shared" si="425"/>
        <v>0</v>
      </c>
      <c r="K123" s="46">
        <f t="shared" si="425"/>
        <v>0</v>
      </c>
      <c r="L123" s="46">
        <f t="shared" si="425"/>
        <v>0</v>
      </c>
      <c r="M123" s="46">
        <f t="shared" si="425"/>
        <v>0</v>
      </c>
      <c r="N123" s="46">
        <f t="shared" si="425"/>
        <v>0</v>
      </c>
      <c r="O123" s="46">
        <f t="shared" si="425"/>
        <v>0</v>
      </c>
      <c r="P123" s="46">
        <f t="shared" si="425"/>
        <v>0</v>
      </c>
      <c r="Q123" s="46">
        <f t="shared" si="425"/>
        <v>0</v>
      </c>
      <c r="R123" s="46">
        <f t="shared" si="425"/>
        <v>0</v>
      </c>
      <c r="S123" s="46">
        <f t="shared" si="425"/>
        <v>0</v>
      </c>
      <c r="T123" s="46">
        <f t="shared" si="425"/>
        <v>0</v>
      </c>
      <c r="U123" s="46">
        <f t="shared" si="425"/>
        <v>0</v>
      </c>
      <c r="V123" s="46">
        <f t="shared" si="425"/>
        <v>0</v>
      </c>
      <c r="W123" s="46">
        <f t="shared" si="425"/>
        <v>0</v>
      </c>
      <c r="X123" s="46">
        <f t="shared" si="425"/>
        <v>0</v>
      </c>
      <c r="Y123" s="46">
        <f t="shared" si="425"/>
        <v>0</v>
      </c>
      <c r="Z123" s="46">
        <f t="shared" si="425"/>
        <v>0</v>
      </c>
      <c r="AA123" s="46">
        <f t="shared" si="425"/>
        <v>0</v>
      </c>
      <c r="AB123" s="46">
        <f t="shared" si="425"/>
        <v>0</v>
      </c>
      <c r="AC123" s="46">
        <f t="shared" si="425"/>
        <v>0</v>
      </c>
      <c r="AD123" s="46">
        <f t="shared" si="425"/>
        <v>0</v>
      </c>
      <c r="AE123" s="46">
        <f t="shared" si="425"/>
        <v>0</v>
      </c>
      <c r="AF123" s="46">
        <f t="shared" si="425"/>
        <v>0</v>
      </c>
      <c r="AG123" s="46">
        <f t="shared" si="425"/>
        <v>0</v>
      </c>
      <c r="AH123" s="46">
        <f t="shared" si="425"/>
        <v>0</v>
      </c>
      <c r="AI123" s="46">
        <f t="shared" si="425"/>
        <v>0</v>
      </c>
      <c r="AJ123" s="46">
        <f t="shared" si="425"/>
        <v>0</v>
      </c>
      <c r="AK123" s="46">
        <f t="shared" si="425"/>
        <v>0</v>
      </c>
      <c r="AL123" s="46">
        <f t="shared" si="425"/>
        <v>0</v>
      </c>
      <c r="AM123" s="46">
        <f t="shared" si="425"/>
        <v>0</v>
      </c>
      <c r="AN123" s="46">
        <f t="shared" si="425"/>
        <v>0</v>
      </c>
      <c r="AO123" s="46">
        <f t="shared" si="425"/>
        <v>0</v>
      </c>
      <c r="AP123" s="46">
        <f t="shared" si="425"/>
        <v>0</v>
      </c>
      <c r="AQ123" s="46">
        <f t="shared" si="425"/>
        <v>0</v>
      </c>
      <c r="AR123" s="47">
        <f t="shared" si="425"/>
        <v>0</v>
      </c>
    </row>
    <row r="124" spans="1:44" s="2" customFormat="1" x14ac:dyDescent="0.35">
      <c r="A124" s="91"/>
      <c r="C124" s="48"/>
      <c r="D124" s="49" t="s">
        <v>73</v>
      </c>
      <c r="E124" s="147"/>
      <c r="F124" s="141">
        <v>0</v>
      </c>
      <c r="G124" s="84">
        <v>0</v>
      </c>
      <c r="H124" s="84">
        <v>0</v>
      </c>
      <c r="I124" s="84">
        <v>0</v>
      </c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</row>
    <row r="125" spans="1:44" s="2" customFormat="1" x14ac:dyDescent="0.35">
      <c r="A125" s="91"/>
      <c r="C125" s="48"/>
      <c r="D125" s="49" t="s">
        <v>86</v>
      </c>
      <c r="E125" s="147"/>
      <c r="F125" s="141"/>
      <c r="G125" s="84">
        <v>0</v>
      </c>
      <c r="H125" s="84"/>
      <c r="I125" s="84"/>
      <c r="J125" s="84"/>
      <c r="K125" s="84"/>
      <c r="L125" s="84">
        <v>0</v>
      </c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>
        <v>0</v>
      </c>
      <c r="AJ125" s="84"/>
      <c r="AK125" s="84"/>
      <c r="AL125" s="84"/>
      <c r="AM125" s="84"/>
      <c r="AN125" s="84">
        <f>+AM122</f>
        <v>1861.1962257248254</v>
      </c>
      <c r="AO125" s="84"/>
      <c r="AP125" s="84"/>
      <c r="AQ125" s="84"/>
      <c r="AR125" s="84"/>
    </row>
    <row r="126" spans="1:44" s="2" customFormat="1" x14ac:dyDescent="0.35">
      <c r="A126" s="91"/>
      <c r="C126" s="48"/>
      <c r="D126" s="49" t="s">
        <v>83</v>
      </c>
      <c r="E126" s="147"/>
      <c r="F126" s="138">
        <f t="shared" ref="F126:AR126" si="426">IF(E123&gt;0,+F125-(F125*E124/E123),+F125)</f>
        <v>0</v>
      </c>
      <c r="G126" s="46">
        <f t="shared" si="426"/>
        <v>0</v>
      </c>
      <c r="H126" s="46">
        <f t="shared" si="426"/>
        <v>0</v>
      </c>
      <c r="I126" s="46">
        <f t="shared" si="426"/>
        <v>0</v>
      </c>
      <c r="J126" s="46">
        <f t="shared" si="426"/>
        <v>0</v>
      </c>
      <c r="K126" s="46">
        <f t="shared" si="426"/>
        <v>0</v>
      </c>
      <c r="L126" s="46">
        <f t="shared" si="426"/>
        <v>0</v>
      </c>
      <c r="M126" s="46">
        <f t="shared" si="426"/>
        <v>0</v>
      </c>
      <c r="N126" s="46">
        <f t="shared" si="426"/>
        <v>0</v>
      </c>
      <c r="O126" s="46">
        <f t="shared" si="426"/>
        <v>0</v>
      </c>
      <c r="P126" s="46">
        <f t="shared" si="426"/>
        <v>0</v>
      </c>
      <c r="Q126" s="46">
        <f t="shared" si="426"/>
        <v>0</v>
      </c>
      <c r="R126" s="46">
        <f t="shared" si="426"/>
        <v>0</v>
      </c>
      <c r="S126" s="46">
        <f t="shared" si="426"/>
        <v>0</v>
      </c>
      <c r="T126" s="46">
        <f t="shared" si="426"/>
        <v>0</v>
      </c>
      <c r="U126" s="46">
        <f t="shared" si="426"/>
        <v>0</v>
      </c>
      <c r="V126" s="46">
        <f t="shared" si="426"/>
        <v>0</v>
      </c>
      <c r="W126" s="46">
        <f t="shared" si="426"/>
        <v>0</v>
      </c>
      <c r="X126" s="46">
        <f t="shared" si="426"/>
        <v>0</v>
      </c>
      <c r="Y126" s="46">
        <f t="shared" si="426"/>
        <v>0</v>
      </c>
      <c r="Z126" s="46">
        <f t="shared" si="426"/>
        <v>0</v>
      </c>
      <c r="AA126" s="46">
        <f t="shared" si="426"/>
        <v>0</v>
      </c>
      <c r="AB126" s="46">
        <f t="shared" si="426"/>
        <v>0</v>
      </c>
      <c r="AC126" s="46">
        <f t="shared" si="426"/>
        <v>0</v>
      </c>
      <c r="AD126" s="46">
        <f t="shared" si="426"/>
        <v>0</v>
      </c>
      <c r="AE126" s="46">
        <f t="shared" si="426"/>
        <v>0</v>
      </c>
      <c r="AF126" s="46">
        <f t="shared" si="426"/>
        <v>0</v>
      </c>
      <c r="AG126" s="46">
        <f t="shared" si="426"/>
        <v>0</v>
      </c>
      <c r="AH126" s="46">
        <f t="shared" si="426"/>
        <v>0</v>
      </c>
      <c r="AI126" s="46">
        <f t="shared" si="426"/>
        <v>0</v>
      </c>
      <c r="AJ126" s="46">
        <f t="shared" si="426"/>
        <v>0</v>
      </c>
      <c r="AK126" s="46">
        <f t="shared" si="426"/>
        <v>0</v>
      </c>
      <c r="AL126" s="46">
        <f t="shared" si="426"/>
        <v>0</v>
      </c>
      <c r="AM126" s="46">
        <f t="shared" si="426"/>
        <v>0</v>
      </c>
      <c r="AN126" s="46">
        <f t="shared" si="426"/>
        <v>1861.1962257248254</v>
      </c>
      <c r="AO126" s="46">
        <f t="shared" si="426"/>
        <v>0</v>
      </c>
      <c r="AP126" s="46">
        <f t="shared" si="426"/>
        <v>0</v>
      </c>
      <c r="AQ126" s="46">
        <f t="shared" si="426"/>
        <v>0</v>
      </c>
      <c r="AR126" s="47">
        <f t="shared" si="426"/>
        <v>0</v>
      </c>
    </row>
    <row r="127" spans="1:44" s="2" customFormat="1" x14ac:dyDescent="0.35">
      <c r="A127" s="91"/>
      <c r="C127" s="48"/>
      <c r="D127" s="25" t="s">
        <v>1</v>
      </c>
      <c r="E127" s="138"/>
      <c r="F127" s="138">
        <f t="shared" ref="F127:AR127" si="427">IF(E126&gt;0,+E126*0.25,0)</f>
        <v>0</v>
      </c>
      <c r="G127" s="46">
        <f t="shared" si="427"/>
        <v>0</v>
      </c>
      <c r="H127" s="46">
        <f t="shared" si="427"/>
        <v>0</v>
      </c>
      <c r="I127" s="46">
        <f t="shared" si="427"/>
        <v>0</v>
      </c>
      <c r="J127" s="46">
        <f t="shared" si="427"/>
        <v>0</v>
      </c>
      <c r="K127" s="46">
        <f t="shared" si="427"/>
        <v>0</v>
      </c>
      <c r="L127" s="46">
        <f t="shared" si="427"/>
        <v>0</v>
      </c>
      <c r="M127" s="46">
        <f t="shared" si="427"/>
        <v>0</v>
      </c>
      <c r="N127" s="46">
        <f t="shared" si="427"/>
        <v>0</v>
      </c>
      <c r="O127" s="46">
        <f t="shared" si="427"/>
        <v>0</v>
      </c>
      <c r="P127" s="46">
        <f t="shared" si="427"/>
        <v>0</v>
      </c>
      <c r="Q127" s="46">
        <f t="shared" si="427"/>
        <v>0</v>
      </c>
      <c r="R127" s="46">
        <f t="shared" si="427"/>
        <v>0</v>
      </c>
      <c r="S127" s="46">
        <f t="shared" si="427"/>
        <v>0</v>
      </c>
      <c r="T127" s="46">
        <f t="shared" si="427"/>
        <v>0</v>
      </c>
      <c r="U127" s="46">
        <f t="shared" si="427"/>
        <v>0</v>
      </c>
      <c r="V127" s="46">
        <f t="shared" si="427"/>
        <v>0</v>
      </c>
      <c r="W127" s="46">
        <f t="shared" si="427"/>
        <v>0</v>
      </c>
      <c r="X127" s="46">
        <f t="shared" si="427"/>
        <v>0</v>
      </c>
      <c r="Y127" s="46">
        <f t="shared" si="427"/>
        <v>0</v>
      </c>
      <c r="Z127" s="46">
        <f t="shared" si="427"/>
        <v>0</v>
      </c>
      <c r="AA127" s="46">
        <f t="shared" si="427"/>
        <v>0</v>
      </c>
      <c r="AB127" s="46">
        <f t="shared" si="427"/>
        <v>0</v>
      </c>
      <c r="AC127" s="46">
        <f t="shared" si="427"/>
        <v>0</v>
      </c>
      <c r="AD127" s="46">
        <f t="shared" si="427"/>
        <v>0</v>
      </c>
      <c r="AE127" s="46">
        <f t="shared" si="427"/>
        <v>0</v>
      </c>
      <c r="AF127" s="46">
        <f t="shared" si="427"/>
        <v>0</v>
      </c>
      <c r="AG127" s="46">
        <f t="shared" si="427"/>
        <v>0</v>
      </c>
      <c r="AH127" s="46">
        <f t="shared" si="427"/>
        <v>0</v>
      </c>
      <c r="AI127" s="46">
        <f t="shared" si="427"/>
        <v>0</v>
      </c>
      <c r="AJ127" s="46">
        <f t="shared" si="427"/>
        <v>0</v>
      </c>
      <c r="AK127" s="46">
        <f t="shared" si="427"/>
        <v>0</v>
      </c>
      <c r="AL127" s="46">
        <f t="shared" si="427"/>
        <v>0</v>
      </c>
      <c r="AM127" s="46">
        <f t="shared" si="427"/>
        <v>0</v>
      </c>
      <c r="AN127" s="46">
        <f t="shared" si="427"/>
        <v>0</v>
      </c>
      <c r="AO127" s="46">
        <f t="shared" si="427"/>
        <v>465.29905643120634</v>
      </c>
      <c r="AP127" s="46">
        <f t="shared" si="427"/>
        <v>0</v>
      </c>
      <c r="AQ127" s="46">
        <f t="shared" si="427"/>
        <v>0</v>
      </c>
      <c r="AR127" s="47">
        <f t="shared" si="427"/>
        <v>0</v>
      </c>
    </row>
    <row r="128" spans="1:44" s="2" customFormat="1" x14ac:dyDescent="0.35">
      <c r="A128" s="91"/>
      <c r="C128" s="48"/>
      <c r="D128" s="25" t="s">
        <v>62</v>
      </c>
      <c r="E128" s="138"/>
      <c r="F128" s="138"/>
      <c r="G128" s="46">
        <v>0</v>
      </c>
      <c r="H128" s="46">
        <f t="shared" ref="H128:AR128" si="428">IF(H122&gt;0,+G128*(1+H$6),+IF(H125&gt;0,+G128*(1+H$6)/2,0))</f>
        <v>0</v>
      </c>
      <c r="I128" s="46">
        <f t="shared" si="428"/>
        <v>0</v>
      </c>
      <c r="J128" s="46">
        <f t="shared" si="428"/>
        <v>0</v>
      </c>
      <c r="K128" s="46">
        <f t="shared" si="428"/>
        <v>0</v>
      </c>
      <c r="L128" s="46">
        <f t="shared" si="428"/>
        <v>0</v>
      </c>
      <c r="M128" s="46">
        <f t="shared" si="428"/>
        <v>0</v>
      </c>
      <c r="N128" s="46">
        <f t="shared" si="428"/>
        <v>0</v>
      </c>
      <c r="O128" s="46">
        <f t="shared" si="428"/>
        <v>0</v>
      </c>
      <c r="P128" s="46">
        <f t="shared" si="428"/>
        <v>0</v>
      </c>
      <c r="Q128" s="46">
        <f t="shared" si="428"/>
        <v>0</v>
      </c>
      <c r="R128" s="46">
        <f t="shared" si="428"/>
        <v>0</v>
      </c>
      <c r="S128" s="46">
        <f t="shared" si="428"/>
        <v>0</v>
      </c>
      <c r="T128" s="46">
        <f t="shared" si="428"/>
        <v>0</v>
      </c>
      <c r="U128" s="46">
        <f t="shared" si="428"/>
        <v>0</v>
      </c>
      <c r="V128" s="46">
        <f t="shared" si="428"/>
        <v>0</v>
      </c>
      <c r="W128" s="46">
        <f t="shared" si="428"/>
        <v>0</v>
      </c>
      <c r="X128" s="46">
        <f t="shared" si="428"/>
        <v>0</v>
      </c>
      <c r="Y128" s="46">
        <f t="shared" si="428"/>
        <v>0</v>
      </c>
      <c r="Z128" s="46">
        <f t="shared" si="428"/>
        <v>0</v>
      </c>
      <c r="AA128" s="46">
        <f t="shared" si="428"/>
        <v>0</v>
      </c>
      <c r="AB128" s="46">
        <f t="shared" si="428"/>
        <v>0</v>
      </c>
      <c r="AC128" s="46">
        <f t="shared" si="428"/>
        <v>0</v>
      </c>
      <c r="AD128" s="46">
        <f t="shared" si="428"/>
        <v>0</v>
      </c>
      <c r="AE128" s="46">
        <f t="shared" si="428"/>
        <v>0</v>
      </c>
      <c r="AF128" s="46">
        <f t="shared" si="428"/>
        <v>0</v>
      </c>
      <c r="AG128" s="46">
        <f t="shared" si="428"/>
        <v>0</v>
      </c>
      <c r="AH128" s="46">
        <f t="shared" si="428"/>
        <v>0</v>
      </c>
      <c r="AI128" s="46">
        <f t="shared" si="428"/>
        <v>0</v>
      </c>
      <c r="AJ128" s="46">
        <f t="shared" si="428"/>
        <v>0</v>
      </c>
      <c r="AK128" s="46">
        <f t="shared" si="428"/>
        <v>0</v>
      </c>
      <c r="AL128" s="46">
        <f t="shared" si="428"/>
        <v>0</v>
      </c>
      <c r="AM128" s="46">
        <f t="shared" si="428"/>
        <v>0</v>
      </c>
      <c r="AN128" s="46">
        <f t="shared" si="428"/>
        <v>0</v>
      </c>
      <c r="AO128" s="46">
        <f t="shared" si="428"/>
        <v>0</v>
      </c>
      <c r="AP128" s="46">
        <f t="shared" si="428"/>
        <v>0</v>
      </c>
      <c r="AQ128" s="46">
        <f t="shared" si="428"/>
        <v>0</v>
      </c>
      <c r="AR128" s="47">
        <f t="shared" si="428"/>
        <v>0</v>
      </c>
    </row>
    <row r="129" spans="1:44" s="3" customFormat="1" x14ac:dyDescent="0.35">
      <c r="A129" s="93"/>
      <c r="C129" s="75"/>
      <c r="D129" s="87" t="s">
        <v>51</v>
      </c>
      <c r="E129" s="143">
        <f>+E$6</f>
        <v>0.05</v>
      </c>
      <c r="F129" s="143">
        <f t="shared" ref="F129:AR129" si="429">+F$6</f>
        <v>0.04</v>
      </c>
      <c r="G129" s="70">
        <f t="shared" si="429"/>
        <v>3.5000000000000003E-2</v>
      </c>
      <c r="H129" s="70">
        <f t="shared" si="429"/>
        <v>2.5000000000000001E-2</v>
      </c>
      <c r="I129" s="70">
        <f t="shared" si="429"/>
        <v>2.2499999999999999E-2</v>
      </c>
      <c r="J129" s="70">
        <f t="shared" si="429"/>
        <v>0.02</v>
      </c>
      <c r="K129" s="70">
        <f t="shared" si="429"/>
        <v>0.02</v>
      </c>
      <c r="L129" s="70">
        <f t="shared" si="429"/>
        <v>0.02</v>
      </c>
      <c r="M129" s="70">
        <f t="shared" si="429"/>
        <v>0.02</v>
      </c>
      <c r="N129" s="70">
        <f t="shared" si="429"/>
        <v>0.02</v>
      </c>
      <c r="O129" s="70">
        <f t="shared" si="429"/>
        <v>0.02</v>
      </c>
      <c r="P129" s="70">
        <f t="shared" si="429"/>
        <v>0.02</v>
      </c>
      <c r="Q129" s="70">
        <f t="shared" si="429"/>
        <v>0.02</v>
      </c>
      <c r="R129" s="70">
        <f t="shared" si="429"/>
        <v>0.02</v>
      </c>
      <c r="S129" s="70">
        <f t="shared" si="429"/>
        <v>0.02</v>
      </c>
      <c r="T129" s="70">
        <f t="shared" si="429"/>
        <v>0.02</v>
      </c>
      <c r="U129" s="70">
        <f t="shared" si="429"/>
        <v>0.02</v>
      </c>
      <c r="V129" s="70">
        <f t="shared" si="429"/>
        <v>0.02</v>
      </c>
      <c r="W129" s="70">
        <f t="shared" si="429"/>
        <v>0.02</v>
      </c>
      <c r="X129" s="70">
        <f t="shared" si="429"/>
        <v>0.02</v>
      </c>
      <c r="Y129" s="70">
        <f t="shared" si="429"/>
        <v>0.02</v>
      </c>
      <c r="Z129" s="70">
        <f t="shared" si="429"/>
        <v>0.02</v>
      </c>
      <c r="AA129" s="70">
        <f t="shared" si="429"/>
        <v>0.02</v>
      </c>
      <c r="AB129" s="70">
        <f t="shared" si="429"/>
        <v>0.02</v>
      </c>
      <c r="AC129" s="70">
        <f t="shared" si="429"/>
        <v>0.02</v>
      </c>
      <c r="AD129" s="70">
        <f t="shared" si="429"/>
        <v>0.02</v>
      </c>
      <c r="AE129" s="70">
        <f t="shared" si="429"/>
        <v>0.02</v>
      </c>
      <c r="AF129" s="70">
        <f t="shared" si="429"/>
        <v>0.02</v>
      </c>
      <c r="AG129" s="70">
        <f t="shared" si="429"/>
        <v>0.02</v>
      </c>
      <c r="AH129" s="70">
        <f t="shared" si="429"/>
        <v>0.02</v>
      </c>
      <c r="AI129" s="70">
        <f t="shared" si="429"/>
        <v>0.02</v>
      </c>
      <c r="AJ129" s="70">
        <f t="shared" si="429"/>
        <v>0.02</v>
      </c>
      <c r="AK129" s="70">
        <f t="shared" si="429"/>
        <v>0.02</v>
      </c>
      <c r="AL129" s="70">
        <f t="shared" si="429"/>
        <v>0.02</v>
      </c>
      <c r="AM129" s="70">
        <f t="shared" si="429"/>
        <v>0.02</v>
      </c>
      <c r="AN129" s="70">
        <f t="shared" si="429"/>
        <v>0.02</v>
      </c>
      <c r="AO129" s="70">
        <f t="shared" si="429"/>
        <v>0.02</v>
      </c>
      <c r="AP129" s="70">
        <f t="shared" si="429"/>
        <v>0.02</v>
      </c>
      <c r="AQ129" s="70">
        <f t="shared" si="429"/>
        <v>0.02</v>
      </c>
      <c r="AR129" s="71">
        <f t="shared" si="429"/>
        <v>0.02</v>
      </c>
    </row>
    <row r="130" spans="1:44" x14ac:dyDescent="0.35">
      <c r="A130" s="92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</row>
    <row r="131" spans="1:44" x14ac:dyDescent="0.35">
      <c r="A131" s="92"/>
      <c r="C131" s="79" t="s">
        <v>57</v>
      </c>
      <c r="D131" s="85" t="s">
        <v>81</v>
      </c>
      <c r="E131" s="134">
        <v>4200</v>
      </c>
      <c r="F131" s="134">
        <f>+E131*(1+E137)-(F133*(1+E137))</f>
        <v>4410</v>
      </c>
      <c r="G131" s="42">
        <f t="shared" ref="G131:AR131" si="430">+F131*(1+F137)-(G133*(1+F137))</f>
        <v>4586.4000000000005</v>
      </c>
      <c r="H131" s="42">
        <f t="shared" si="430"/>
        <v>4746.924</v>
      </c>
      <c r="I131" s="42">
        <f t="shared" si="430"/>
        <v>4865.5971</v>
      </c>
      <c r="J131" s="42">
        <f t="shared" si="430"/>
        <v>4975.0730347499994</v>
      </c>
      <c r="K131" s="42">
        <f t="shared" si="430"/>
        <v>5074.5744954449992</v>
      </c>
      <c r="L131" s="42">
        <f t="shared" si="430"/>
        <v>5176.0659853538991</v>
      </c>
      <c r="M131" s="42">
        <f t="shared" si="430"/>
        <v>5279.5873050609771</v>
      </c>
      <c r="N131" s="42">
        <f t="shared" si="430"/>
        <v>5385.1790511621966</v>
      </c>
      <c r="O131" s="42">
        <f t="shared" si="430"/>
        <v>5492.8826321854403</v>
      </c>
      <c r="P131" s="42">
        <f t="shared" si="430"/>
        <v>5602.7402848291495</v>
      </c>
      <c r="Q131" s="42">
        <f t="shared" si="430"/>
        <v>4286.0963178942993</v>
      </c>
      <c r="R131" s="42">
        <f t="shared" si="430"/>
        <v>4371.8182442521857</v>
      </c>
      <c r="S131" s="42">
        <f t="shared" si="430"/>
        <v>4459.2546091372296</v>
      </c>
      <c r="T131" s="42">
        <f t="shared" si="430"/>
        <v>4548.4397013199741</v>
      </c>
      <c r="U131" s="42">
        <f t="shared" si="430"/>
        <v>4639.4084953463735</v>
      </c>
      <c r="V131" s="42">
        <f t="shared" si="430"/>
        <v>4732.196665253301</v>
      </c>
      <c r="W131" s="42">
        <f t="shared" si="430"/>
        <v>4826.8405985583668</v>
      </c>
      <c r="X131" s="42">
        <f t="shared" si="430"/>
        <v>4923.3774105295342</v>
      </c>
      <c r="Y131" s="42">
        <f t="shared" si="430"/>
        <v>5021.8449587401246</v>
      </c>
      <c r="Z131" s="42">
        <f t="shared" si="430"/>
        <v>5122.2818579149271</v>
      </c>
      <c r="AA131" s="42">
        <f t="shared" si="430"/>
        <v>5224.7274950732253</v>
      </c>
      <c r="AB131" s="42">
        <f t="shared" si="430"/>
        <v>5329.2220449746901</v>
      </c>
      <c r="AC131" s="42">
        <f t="shared" si="430"/>
        <v>5435.8064858741836</v>
      </c>
      <c r="AD131" s="42">
        <f t="shared" si="430"/>
        <v>5544.5226155916671</v>
      </c>
      <c r="AE131" s="42">
        <f t="shared" si="430"/>
        <v>5655.4130679035006</v>
      </c>
      <c r="AF131" s="42">
        <f t="shared" si="430"/>
        <v>5768.5213292615708</v>
      </c>
      <c r="AG131" s="42">
        <f t="shared" si="430"/>
        <v>5883.891755846802</v>
      </c>
      <c r="AH131" s="42">
        <f t="shared" si="430"/>
        <v>0</v>
      </c>
      <c r="AI131" s="42">
        <f t="shared" si="430"/>
        <v>0</v>
      </c>
      <c r="AJ131" s="42">
        <f t="shared" si="430"/>
        <v>0</v>
      </c>
      <c r="AK131" s="42">
        <f t="shared" si="430"/>
        <v>0</v>
      </c>
      <c r="AL131" s="42">
        <f t="shared" si="430"/>
        <v>0</v>
      </c>
      <c r="AM131" s="42">
        <f t="shared" si="430"/>
        <v>0</v>
      </c>
      <c r="AN131" s="42">
        <f t="shared" si="430"/>
        <v>0</v>
      </c>
      <c r="AO131" s="42">
        <f t="shared" si="430"/>
        <v>0</v>
      </c>
      <c r="AP131" s="42">
        <f t="shared" si="430"/>
        <v>0</v>
      </c>
      <c r="AQ131" s="42">
        <f t="shared" si="430"/>
        <v>0</v>
      </c>
      <c r="AR131" s="43">
        <f t="shared" si="430"/>
        <v>0</v>
      </c>
    </row>
    <row r="132" spans="1:44" x14ac:dyDescent="0.35">
      <c r="A132" s="92"/>
      <c r="C132" s="54" t="s">
        <v>85</v>
      </c>
      <c r="D132" s="49" t="s">
        <v>82</v>
      </c>
      <c r="E132" s="138">
        <v>4200</v>
      </c>
      <c r="F132" s="138">
        <f>IF(E131&gt;0,+E132-(F133*E132/E131),0)</f>
        <v>4200</v>
      </c>
      <c r="G132" s="46">
        <f t="shared" ref="G132:AR132" si="431">IF(F131&gt;0,+F132-(G133*F132/F131),0)</f>
        <v>4200</v>
      </c>
      <c r="H132" s="46">
        <f t="shared" si="431"/>
        <v>4200</v>
      </c>
      <c r="I132" s="46">
        <f t="shared" si="431"/>
        <v>4200</v>
      </c>
      <c r="J132" s="46">
        <f t="shared" si="431"/>
        <v>4200</v>
      </c>
      <c r="K132" s="46">
        <f t="shared" si="431"/>
        <v>4200</v>
      </c>
      <c r="L132" s="46">
        <f t="shared" si="431"/>
        <v>4200</v>
      </c>
      <c r="M132" s="46">
        <f t="shared" si="431"/>
        <v>4200</v>
      </c>
      <c r="N132" s="46">
        <f t="shared" si="431"/>
        <v>4200</v>
      </c>
      <c r="O132" s="46">
        <f t="shared" si="431"/>
        <v>4200</v>
      </c>
      <c r="P132" s="46">
        <f t="shared" si="431"/>
        <v>4200</v>
      </c>
      <c r="Q132" s="46">
        <f t="shared" si="431"/>
        <v>3150</v>
      </c>
      <c r="R132" s="46">
        <f t="shared" si="431"/>
        <v>3150</v>
      </c>
      <c r="S132" s="46">
        <f t="shared" si="431"/>
        <v>3150</v>
      </c>
      <c r="T132" s="46">
        <f t="shared" si="431"/>
        <v>3150</v>
      </c>
      <c r="U132" s="46">
        <f t="shared" si="431"/>
        <v>3150</v>
      </c>
      <c r="V132" s="46">
        <f t="shared" si="431"/>
        <v>3150</v>
      </c>
      <c r="W132" s="46">
        <f t="shared" si="431"/>
        <v>3150</v>
      </c>
      <c r="X132" s="46">
        <f t="shared" si="431"/>
        <v>3150</v>
      </c>
      <c r="Y132" s="46">
        <f t="shared" si="431"/>
        <v>3150</v>
      </c>
      <c r="Z132" s="46">
        <f t="shared" si="431"/>
        <v>3150</v>
      </c>
      <c r="AA132" s="46">
        <f t="shared" si="431"/>
        <v>3150</v>
      </c>
      <c r="AB132" s="46">
        <f t="shared" si="431"/>
        <v>3150</v>
      </c>
      <c r="AC132" s="46">
        <f t="shared" si="431"/>
        <v>3150</v>
      </c>
      <c r="AD132" s="46">
        <f t="shared" si="431"/>
        <v>3150</v>
      </c>
      <c r="AE132" s="46">
        <f t="shared" si="431"/>
        <v>3150</v>
      </c>
      <c r="AF132" s="46">
        <f t="shared" si="431"/>
        <v>3150</v>
      </c>
      <c r="AG132" s="46">
        <f t="shared" si="431"/>
        <v>3150</v>
      </c>
      <c r="AH132" s="46">
        <f t="shared" si="431"/>
        <v>4.5474735088646412E-13</v>
      </c>
      <c r="AI132" s="46">
        <f t="shared" si="431"/>
        <v>0</v>
      </c>
      <c r="AJ132" s="46">
        <f t="shared" si="431"/>
        <v>0</v>
      </c>
      <c r="AK132" s="46">
        <f t="shared" si="431"/>
        <v>0</v>
      </c>
      <c r="AL132" s="46">
        <f t="shared" si="431"/>
        <v>0</v>
      </c>
      <c r="AM132" s="46">
        <f t="shared" si="431"/>
        <v>0</v>
      </c>
      <c r="AN132" s="46">
        <f t="shared" si="431"/>
        <v>0</v>
      </c>
      <c r="AO132" s="46">
        <f t="shared" si="431"/>
        <v>0</v>
      </c>
      <c r="AP132" s="46">
        <f t="shared" si="431"/>
        <v>0</v>
      </c>
      <c r="AQ132" s="46">
        <f t="shared" si="431"/>
        <v>0</v>
      </c>
      <c r="AR132" s="47">
        <f t="shared" si="431"/>
        <v>0</v>
      </c>
    </row>
    <row r="133" spans="1:44" s="2" customFormat="1" x14ac:dyDescent="0.35">
      <c r="A133" s="91"/>
      <c r="C133" s="48"/>
      <c r="D133" s="49" t="s">
        <v>86</v>
      </c>
      <c r="E133" s="138"/>
      <c r="F133" s="141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>
        <f>+P131*0.25</f>
        <v>1400.6850712072874</v>
      </c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>
        <v>0</v>
      </c>
      <c r="AD133" s="84"/>
      <c r="AE133" s="84"/>
      <c r="AF133" s="84"/>
      <c r="AG133" s="84"/>
      <c r="AH133" s="84">
        <f>+AG131</f>
        <v>5883.891755846802</v>
      </c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</row>
    <row r="134" spans="1:44" x14ac:dyDescent="0.35">
      <c r="A134" s="92"/>
      <c r="C134" s="54"/>
      <c r="D134" s="25" t="s">
        <v>83</v>
      </c>
      <c r="E134" s="138"/>
      <c r="F134" s="138">
        <f t="shared" ref="F134:AR134" si="432">IF(E131&gt;0,+F133-(F133*E132/E131),+F133)</f>
        <v>0</v>
      </c>
      <c r="G134" s="46">
        <f t="shared" si="432"/>
        <v>0</v>
      </c>
      <c r="H134" s="46">
        <f t="shared" si="432"/>
        <v>0</v>
      </c>
      <c r="I134" s="46">
        <f t="shared" si="432"/>
        <v>0</v>
      </c>
      <c r="J134" s="46">
        <f t="shared" si="432"/>
        <v>0</v>
      </c>
      <c r="K134" s="46">
        <f t="shared" si="432"/>
        <v>0</v>
      </c>
      <c r="L134" s="46">
        <f t="shared" si="432"/>
        <v>0</v>
      </c>
      <c r="M134" s="46">
        <f t="shared" si="432"/>
        <v>0</v>
      </c>
      <c r="N134" s="46">
        <f t="shared" si="432"/>
        <v>0</v>
      </c>
      <c r="O134" s="46">
        <f t="shared" si="432"/>
        <v>0</v>
      </c>
      <c r="P134" s="46">
        <f t="shared" si="432"/>
        <v>0</v>
      </c>
      <c r="Q134" s="46">
        <f t="shared" si="432"/>
        <v>350.68507120728736</v>
      </c>
      <c r="R134" s="46">
        <f t="shared" si="432"/>
        <v>0</v>
      </c>
      <c r="S134" s="46">
        <f t="shared" si="432"/>
        <v>0</v>
      </c>
      <c r="T134" s="46">
        <f t="shared" si="432"/>
        <v>0</v>
      </c>
      <c r="U134" s="46">
        <f t="shared" si="432"/>
        <v>0</v>
      </c>
      <c r="V134" s="46">
        <f t="shared" si="432"/>
        <v>0</v>
      </c>
      <c r="W134" s="46">
        <f t="shared" si="432"/>
        <v>0</v>
      </c>
      <c r="X134" s="46">
        <f t="shared" si="432"/>
        <v>0</v>
      </c>
      <c r="Y134" s="46">
        <f t="shared" si="432"/>
        <v>0</v>
      </c>
      <c r="Z134" s="46">
        <f t="shared" si="432"/>
        <v>0</v>
      </c>
      <c r="AA134" s="46">
        <f t="shared" si="432"/>
        <v>0</v>
      </c>
      <c r="AB134" s="46">
        <f t="shared" si="432"/>
        <v>0</v>
      </c>
      <c r="AC134" s="46">
        <f t="shared" si="432"/>
        <v>0</v>
      </c>
      <c r="AD134" s="46">
        <f t="shared" si="432"/>
        <v>0</v>
      </c>
      <c r="AE134" s="46">
        <f t="shared" si="432"/>
        <v>0</v>
      </c>
      <c r="AF134" s="46">
        <f t="shared" si="432"/>
        <v>0</v>
      </c>
      <c r="AG134" s="46">
        <f t="shared" si="432"/>
        <v>0</v>
      </c>
      <c r="AH134" s="46">
        <f t="shared" si="432"/>
        <v>2733.8917558468024</v>
      </c>
      <c r="AI134" s="46">
        <f t="shared" si="432"/>
        <v>0</v>
      </c>
      <c r="AJ134" s="46">
        <f t="shared" si="432"/>
        <v>0</v>
      </c>
      <c r="AK134" s="46">
        <f t="shared" si="432"/>
        <v>0</v>
      </c>
      <c r="AL134" s="46">
        <f t="shared" si="432"/>
        <v>0</v>
      </c>
      <c r="AM134" s="46">
        <f t="shared" si="432"/>
        <v>0</v>
      </c>
      <c r="AN134" s="46">
        <f t="shared" si="432"/>
        <v>0</v>
      </c>
      <c r="AO134" s="46">
        <f t="shared" si="432"/>
        <v>0</v>
      </c>
      <c r="AP134" s="46">
        <f t="shared" si="432"/>
        <v>0</v>
      </c>
      <c r="AQ134" s="46">
        <f t="shared" si="432"/>
        <v>0</v>
      </c>
      <c r="AR134" s="47">
        <f t="shared" si="432"/>
        <v>0</v>
      </c>
    </row>
    <row r="135" spans="1:44" x14ac:dyDescent="0.35">
      <c r="A135" s="92"/>
      <c r="C135" s="54"/>
      <c r="D135" s="25" t="s">
        <v>1</v>
      </c>
      <c r="E135" s="138"/>
      <c r="F135" s="138">
        <f t="shared" ref="F135:AR135" si="433">IF(E134&gt;0,+E134*0.25,0)</f>
        <v>0</v>
      </c>
      <c r="G135" s="46">
        <f t="shared" si="433"/>
        <v>0</v>
      </c>
      <c r="H135" s="46">
        <f t="shared" si="433"/>
        <v>0</v>
      </c>
      <c r="I135" s="46">
        <f t="shared" si="433"/>
        <v>0</v>
      </c>
      <c r="J135" s="46">
        <f t="shared" si="433"/>
        <v>0</v>
      </c>
      <c r="K135" s="46">
        <f t="shared" si="433"/>
        <v>0</v>
      </c>
      <c r="L135" s="46">
        <f t="shared" si="433"/>
        <v>0</v>
      </c>
      <c r="M135" s="46">
        <f t="shared" si="433"/>
        <v>0</v>
      </c>
      <c r="N135" s="46">
        <f t="shared" si="433"/>
        <v>0</v>
      </c>
      <c r="O135" s="46">
        <f t="shared" si="433"/>
        <v>0</v>
      </c>
      <c r="P135" s="46">
        <f t="shared" si="433"/>
        <v>0</v>
      </c>
      <c r="Q135" s="46">
        <f t="shared" si="433"/>
        <v>0</v>
      </c>
      <c r="R135" s="46">
        <f t="shared" si="433"/>
        <v>87.671267801821841</v>
      </c>
      <c r="S135" s="46">
        <f t="shared" si="433"/>
        <v>0</v>
      </c>
      <c r="T135" s="46">
        <f t="shared" si="433"/>
        <v>0</v>
      </c>
      <c r="U135" s="46">
        <f t="shared" si="433"/>
        <v>0</v>
      </c>
      <c r="V135" s="46">
        <f t="shared" si="433"/>
        <v>0</v>
      </c>
      <c r="W135" s="46">
        <f t="shared" si="433"/>
        <v>0</v>
      </c>
      <c r="X135" s="46">
        <f t="shared" si="433"/>
        <v>0</v>
      </c>
      <c r="Y135" s="46">
        <f t="shared" si="433"/>
        <v>0</v>
      </c>
      <c r="Z135" s="46">
        <f t="shared" si="433"/>
        <v>0</v>
      </c>
      <c r="AA135" s="46">
        <f t="shared" si="433"/>
        <v>0</v>
      </c>
      <c r="AB135" s="46">
        <f t="shared" si="433"/>
        <v>0</v>
      </c>
      <c r="AC135" s="46">
        <f t="shared" si="433"/>
        <v>0</v>
      </c>
      <c r="AD135" s="46">
        <f t="shared" si="433"/>
        <v>0</v>
      </c>
      <c r="AE135" s="46">
        <f t="shared" si="433"/>
        <v>0</v>
      </c>
      <c r="AF135" s="46">
        <f t="shared" si="433"/>
        <v>0</v>
      </c>
      <c r="AG135" s="46">
        <f t="shared" si="433"/>
        <v>0</v>
      </c>
      <c r="AH135" s="46">
        <f t="shared" si="433"/>
        <v>0</v>
      </c>
      <c r="AI135" s="46">
        <f t="shared" si="433"/>
        <v>683.47293896170061</v>
      </c>
      <c r="AJ135" s="46">
        <f t="shared" si="433"/>
        <v>0</v>
      </c>
      <c r="AK135" s="46">
        <f t="shared" si="433"/>
        <v>0</v>
      </c>
      <c r="AL135" s="46">
        <f t="shared" si="433"/>
        <v>0</v>
      </c>
      <c r="AM135" s="46">
        <f t="shared" si="433"/>
        <v>0</v>
      </c>
      <c r="AN135" s="46">
        <f t="shared" si="433"/>
        <v>0</v>
      </c>
      <c r="AO135" s="46">
        <f t="shared" si="433"/>
        <v>0</v>
      </c>
      <c r="AP135" s="46">
        <f t="shared" si="433"/>
        <v>0</v>
      </c>
      <c r="AQ135" s="46">
        <f t="shared" si="433"/>
        <v>0</v>
      </c>
      <c r="AR135" s="47">
        <f t="shared" si="433"/>
        <v>0</v>
      </c>
    </row>
    <row r="136" spans="1:44" x14ac:dyDescent="0.35">
      <c r="A136" s="92"/>
      <c r="C136" s="54"/>
      <c r="D136" s="25" t="s">
        <v>62</v>
      </c>
      <c r="E136" s="138">
        <f>11.4*4.25</f>
        <v>48.45</v>
      </c>
      <c r="F136" s="138">
        <f>15.2*4.25</f>
        <v>64.599999999999994</v>
      </c>
      <c r="G136" s="46">
        <f t="shared" ref="G136:AR136" si="434">IF(G131&gt;0,+F136*(1+G$6),+IF(G133&gt;0,+F136*(1+G$6)/2,0))</f>
        <v>66.86099999999999</v>
      </c>
      <c r="H136" s="46">
        <f t="shared" si="434"/>
        <v>68.532524999999978</v>
      </c>
      <c r="I136" s="46">
        <f t="shared" si="434"/>
        <v>70.074506812499976</v>
      </c>
      <c r="J136" s="46">
        <f t="shared" si="434"/>
        <v>71.47599694874998</v>
      </c>
      <c r="K136" s="46">
        <f t="shared" si="434"/>
        <v>72.905516887724986</v>
      </c>
      <c r="L136" s="46">
        <f t="shared" si="434"/>
        <v>74.36362722547949</v>
      </c>
      <c r="M136" s="46">
        <f t="shared" si="434"/>
        <v>75.850899769989084</v>
      </c>
      <c r="N136" s="46">
        <f t="shared" si="434"/>
        <v>77.367917765388867</v>
      </c>
      <c r="O136" s="46">
        <f t="shared" si="434"/>
        <v>78.915276120696646</v>
      </c>
      <c r="P136" s="46">
        <f t="shared" si="434"/>
        <v>80.493581643110574</v>
      </c>
      <c r="Q136" s="46">
        <f t="shared" si="434"/>
        <v>82.103453275972782</v>
      </c>
      <c r="R136" s="46">
        <f t="shared" si="434"/>
        <v>83.745522341492233</v>
      </c>
      <c r="S136" s="46">
        <f t="shared" si="434"/>
        <v>85.420432788322074</v>
      </c>
      <c r="T136" s="46">
        <f t="shared" si="434"/>
        <v>87.128841444088522</v>
      </c>
      <c r="U136" s="46">
        <f t="shared" si="434"/>
        <v>88.871418272970288</v>
      </c>
      <c r="V136" s="46">
        <f t="shared" si="434"/>
        <v>90.648846638429703</v>
      </c>
      <c r="W136" s="46">
        <f t="shared" si="434"/>
        <v>92.461823571198295</v>
      </c>
      <c r="X136" s="46">
        <f t="shared" si="434"/>
        <v>94.311060042622259</v>
      </c>
      <c r="Y136" s="46">
        <f t="shared" si="434"/>
        <v>96.197281243474706</v>
      </c>
      <c r="Z136" s="46">
        <f t="shared" si="434"/>
        <v>98.121226868344195</v>
      </c>
      <c r="AA136" s="46">
        <f t="shared" si="434"/>
        <v>100.08365140571108</v>
      </c>
      <c r="AB136" s="46">
        <f t="shared" si="434"/>
        <v>102.08532443382531</v>
      </c>
      <c r="AC136" s="46">
        <f t="shared" si="434"/>
        <v>104.12703092250182</v>
      </c>
      <c r="AD136" s="46">
        <f t="shared" si="434"/>
        <v>106.20957154095186</v>
      </c>
      <c r="AE136" s="46">
        <f t="shared" si="434"/>
        <v>108.33376297177089</v>
      </c>
      <c r="AF136" s="46">
        <f t="shared" si="434"/>
        <v>110.50043823120632</v>
      </c>
      <c r="AG136" s="46">
        <f t="shared" si="434"/>
        <v>112.71044699583045</v>
      </c>
      <c r="AH136" s="46">
        <f t="shared" si="434"/>
        <v>57.48232796787353</v>
      </c>
      <c r="AI136" s="46">
        <f t="shared" si="434"/>
        <v>0</v>
      </c>
      <c r="AJ136" s="46">
        <f t="shared" si="434"/>
        <v>0</v>
      </c>
      <c r="AK136" s="46">
        <f t="shared" si="434"/>
        <v>0</v>
      </c>
      <c r="AL136" s="46">
        <f t="shared" si="434"/>
        <v>0</v>
      </c>
      <c r="AM136" s="46">
        <f t="shared" si="434"/>
        <v>0</v>
      </c>
      <c r="AN136" s="46">
        <f t="shared" si="434"/>
        <v>0</v>
      </c>
      <c r="AO136" s="46">
        <f t="shared" si="434"/>
        <v>0</v>
      </c>
      <c r="AP136" s="46">
        <f t="shared" si="434"/>
        <v>0</v>
      </c>
      <c r="AQ136" s="46">
        <f t="shared" si="434"/>
        <v>0</v>
      </c>
      <c r="AR136" s="47">
        <f t="shared" si="434"/>
        <v>0</v>
      </c>
    </row>
    <row r="137" spans="1:44" s="2" customFormat="1" x14ac:dyDescent="0.35">
      <c r="A137" s="91"/>
      <c r="C137" s="89"/>
      <c r="D137" s="56" t="s">
        <v>51</v>
      </c>
      <c r="E137" s="146">
        <f t="shared" ref="E137:AR137" si="435">+E$6</f>
        <v>0.05</v>
      </c>
      <c r="F137" s="146">
        <f t="shared" si="435"/>
        <v>0.04</v>
      </c>
      <c r="G137" s="77">
        <f t="shared" si="435"/>
        <v>3.5000000000000003E-2</v>
      </c>
      <c r="H137" s="77">
        <f t="shared" si="435"/>
        <v>2.5000000000000001E-2</v>
      </c>
      <c r="I137" s="77">
        <f t="shared" si="435"/>
        <v>2.2499999999999999E-2</v>
      </c>
      <c r="J137" s="77">
        <f t="shared" si="435"/>
        <v>0.02</v>
      </c>
      <c r="K137" s="77">
        <f t="shared" si="435"/>
        <v>0.02</v>
      </c>
      <c r="L137" s="77">
        <f t="shared" si="435"/>
        <v>0.02</v>
      </c>
      <c r="M137" s="77">
        <f t="shared" si="435"/>
        <v>0.02</v>
      </c>
      <c r="N137" s="77">
        <f t="shared" si="435"/>
        <v>0.02</v>
      </c>
      <c r="O137" s="77">
        <f t="shared" si="435"/>
        <v>0.02</v>
      </c>
      <c r="P137" s="77">
        <f t="shared" si="435"/>
        <v>0.02</v>
      </c>
      <c r="Q137" s="77">
        <f t="shared" si="435"/>
        <v>0.02</v>
      </c>
      <c r="R137" s="77">
        <f t="shared" si="435"/>
        <v>0.02</v>
      </c>
      <c r="S137" s="77">
        <f t="shared" si="435"/>
        <v>0.02</v>
      </c>
      <c r="T137" s="77">
        <f t="shared" si="435"/>
        <v>0.02</v>
      </c>
      <c r="U137" s="77">
        <f t="shared" si="435"/>
        <v>0.02</v>
      </c>
      <c r="V137" s="77">
        <f t="shared" si="435"/>
        <v>0.02</v>
      </c>
      <c r="W137" s="77">
        <f t="shared" si="435"/>
        <v>0.02</v>
      </c>
      <c r="X137" s="77">
        <f t="shared" si="435"/>
        <v>0.02</v>
      </c>
      <c r="Y137" s="77">
        <f t="shared" si="435"/>
        <v>0.02</v>
      </c>
      <c r="Z137" s="77">
        <f t="shared" si="435"/>
        <v>0.02</v>
      </c>
      <c r="AA137" s="77">
        <f t="shared" si="435"/>
        <v>0.02</v>
      </c>
      <c r="AB137" s="77">
        <f t="shared" si="435"/>
        <v>0.02</v>
      </c>
      <c r="AC137" s="77">
        <f t="shared" si="435"/>
        <v>0.02</v>
      </c>
      <c r="AD137" s="77">
        <f t="shared" si="435"/>
        <v>0.02</v>
      </c>
      <c r="AE137" s="77">
        <f t="shared" si="435"/>
        <v>0.02</v>
      </c>
      <c r="AF137" s="77">
        <f t="shared" si="435"/>
        <v>0.02</v>
      </c>
      <c r="AG137" s="77">
        <f t="shared" si="435"/>
        <v>0.02</v>
      </c>
      <c r="AH137" s="77">
        <f t="shared" si="435"/>
        <v>0.02</v>
      </c>
      <c r="AI137" s="77">
        <f t="shared" si="435"/>
        <v>0.02</v>
      </c>
      <c r="AJ137" s="77">
        <f t="shared" si="435"/>
        <v>0.02</v>
      </c>
      <c r="AK137" s="77">
        <f t="shared" si="435"/>
        <v>0.02</v>
      </c>
      <c r="AL137" s="77">
        <f t="shared" si="435"/>
        <v>0.02</v>
      </c>
      <c r="AM137" s="77">
        <f t="shared" si="435"/>
        <v>0.02</v>
      </c>
      <c r="AN137" s="77">
        <f t="shared" si="435"/>
        <v>0.02</v>
      </c>
      <c r="AO137" s="77">
        <f t="shared" si="435"/>
        <v>0.02</v>
      </c>
      <c r="AP137" s="77">
        <f t="shared" si="435"/>
        <v>0.02</v>
      </c>
      <c r="AQ137" s="77">
        <f t="shared" si="435"/>
        <v>0.02</v>
      </c>
      <c r="AR137" s="80">
        <f t="shared" si="435"/>
        <v>0.02</v>
      </c>
    </row>
    <row r="138" spans="1:44" x14ac:dyDescent="0.35">
      <c r="A138" s="9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</row>
    <row r="139" spans="1:44" x14ac:dyDescent="0.35">
      <c r="A139" s="92"/>
      <c r="C139" s="79" t="s">
        <v>58</v>
      </c>
      <c r="D139" s="85" t="s">
        <v>81</v>
      </c>
      <c r="E139" s="134">
        <v>300</v>
      </c>
      <c r="F139" s="134">
        <f>+E139*(1+E145)-(F141*(1+E145))</f>
        <v>315</v>
      </c>
      <c r="G139" s="42">
        <f t="shared" ref="G139:AR139" si="436">+F139*(1+F145)-(G141*(1+F145))</f>
        <v>327.60000000000002</v>
      </c>
      <c r="H139" s="42">
        <f t="shared" si="436"/>
        <v>339.06599999999997</v>
      </c>
      <c r="I139" s="42">
        <f t="shared" si="436"/>
        <v>347.54264999999992</v>
      </c>
      <c r="J139" s="42">
        <f t="shared" si="436"/>
        <v>355.3623596249999</v>
      </c>
      <c r="K139" s="42">
        <f t="shared" si="436"/>
        <v>362.46960681749988</v>
      </c>
      <c r="L139" s="42">
        <f t="shared" si="436"/>
        <v>369.7189989538499</v>
      </c>
      <c r="M139" s="42">
        <f t="shared" si="436"/>
        <v>377.11337893292693</v>
      </c>
      <c r="N139" s="42">
        <f t="shared" si="436"/>
        <v>384.65564651158547</v>
      </c>
      <c r="O139" s="42">
        <f t="shared" si="436"/>
        <v>392.34875944181721</v>
      </c>
      <c r="P139" s="42">
        <f t="shared" si="436"/>
        <v>400.19573463065353</v>
      </c>
      <c r="Q139" s="42">
        <f t="shared" si="436"/>
        <v>408.19964932326661</v>
      </c>
      <c r="R139" s="42">
        <f t="shared" si="436"/>
        <v>416.36364230973197</v>
      </c>
      <c r="S139" s="42">
        <f t="shared" si="436"/>
        <v>424.69091515592663</v>
      </c>
      <c r="T139" s="42">
        <f t="shared" si="436"/>
        <v>433.18473345904516</v>
      </c>
      <c r="U139" s="42">
        <f t="shared" si="436"/>
        <v>441.84842812822609</v>
      </c>
      <c r="V139" s="42">
        <f t="shared" si="436"/>
        <v>0</v>
      </c>
      <c r="W139" s="42">
        <f t="shared" si="436"/>
        <v>0</v>
      </c>
      <c r="X139" s="42">
        <f t="shared" si="436"/>
        <v>0</v>
      </c>
      <c r="Y139" s="42">
        <f t="shared" si="436"/>
        <v>0</v>
      </c>
      <c r="Z139" s="42">
        <f t="shared" si="436"/>
        <v>0</v>
      </c>
      <c r="AA139" s="42">
        <f t="shared" si="436"/>
        <v>0</v>
      </c>
      <c r="AB139" s="42">
        <f t="shared" si="436"/>
        <v>0</v>
      </c>
      <c r="AC139" s="42">
        <f t="shared" si="436"/>
        <v>0</v>
      </c>
      <c r="AD139" s="42">
        <f t="shared" si="436"/>
        <v>0</v>
      </c>
      <c r="AE139" s="42">
        <f t="shared" si="436"/>
        <v>0</v>
      </c>
      <c r="AF139" s="42">
        <f t="shared" si="436"/>
        <v>0</v>
      </c>
      <c r="AG139" s="42">
        <f t="shared" si="436"/>
        <v>0</v>
      </c>
      <c r="AH139" s="42">
        <f t="shared" si="436"/>
        <v>0</v>
      </c>
      <c r="AI139" s="42">
        <f t="shared" si="436"/>
        <v>0</v>
      </c>
      <c r="AJ139" s="42">
        <f t="shared" si="436"/>
        <v>0</v>
      </c>
      <c r="AK139" s="42">
        <f t="shared" si="436"/>
        <v>0</v>
      </c>
      <c r="AL139" s="42">
        <f t="shared" si="436"/>
        <v>0</v>
      </c>
      <c r="AM139" s="42">
        <f t="shared" si="436"/>
        <v>0</v>
      </c>
      <c r="AN139" s="42">
        <f t="shared" si="436"/>
        <v>0</v>
      </c>
      <c r="AO139" s="42">
        <f t="shared" si="436"/>
        <v>0</v>
      </c>
      <c r="AP139" s="42">
        <f t="shared" si="436"/>
        <v>0</v>
      </c>
      <c r="AQ139" s="42">
        <f t="shared" si="436"/>
        <v>0</v>
      </c>
      <c r="AR139" s="43">
        <f t="shared" si="436"/>
        <v>0</v>
      </c>
    </row>
    <row r="140" spans="1:44" x14ac:dyDescent="0.35">
      <c r="A140" s="92"/>
      <c r="C140" s="54" t="s">
        <v>85</v>
      </c>
      <c r="D140" s="49" t="s">
        <v>82</v>
      </c>
      <c r="E140" s="138">
        <v>120</v>
      </c>
      <c r="F140" s="138">
        <f>IF(E139&gt;0,+E140-(F141*E140/E139),0)</f>
        <v>120</v>
      </c>
      <c r="G140" s="46">
        <f>IF(F139&gt;0,+F140-(G141*F140/F139),0)</f>
        <v>120</v>
      </c>
      <c r="H140" s="46">
        <f t="shared" ref="H140:AR140" si="437">IF(G139&gt;0,+G140-(H141*G140/G139),0)</f>
        <v>120</v>
      </c>
      <c r="I140" s="46">
        <f t="shared" si="437"/>
        <v>120</v>
      </c>
      <c r="J140" s="46">
        <f t="shared" si="437"/>
        <v>120</v>
      </c>
      <c r="K140" s="46">
        <f t="shared" si="437"/>
        <v>120</v>
      </c>
      <c r="L140" s="46">
        <f t="shared" si="437"/>
        <v>120</v>
      </c>
      <c r="M140" s="46">
        <f t="shared" si="437"/>
        <v>120</v>
      </c>
      <c r="N140" s="46">
        <f t="shared" si="437"/>
        <v>120</v>
      </c>
      <c r="O140" s="46">
        <f t="shared" si="437"/>
        <v>120</v>
      </c>
      <c r="P140" s="46">
        <f t="shared" si="437"/>
        <v>120</v>
      </c>
      <c r="Q140" s="46">
        <f t="shared" si="437"/>
        <v>120</v>
      </c>
      <c r="R140" s="46">
        <f t="shared" si="437"/>
        <v>120</v>
      </c>
      <c r="S140" s="46">
        <f t="shared" si="437"/>
        <v>120</v>
      </c>
      <c r="T140" s="46">
        <f t="shared" si="437"/>
        <v>120</v>
      </c>
      <c r="U140" s="46">
        <f t="shared" si="437"/>
        <v>120</v>
      </c>
      <c r="V140" s="46">
        <f t="shared" si="437"/>
        <v>0</v>
      </c>
      <c r="W140" s="46">
        <f t="shared" si="437"/>
        <v>0</v>
      </c>
      <c r="X140" s="46">
        <f t="shared" si="437"/>
        <v>0</v>
      </c>
      <c r="Y140" s="46">
        <f t="shared" si="437"/>
        <v>0</v>
      </c>
      <c r="Z140" s="46">
        <f t="shared" si="437"/>
        <v>0</v>
      </c>
      <c r="AA140" s="46">
        <f t="shared" si="437"/>
        <v>0</v>
      </c>
      <c r="AB140" s="46">
        <f t="shared" si="437"/>
        <v>0</v>
      </c>
      <c r="AC140" s="46">
        <f t="shared" si="437"/>
        <v>0</v>
      </c>
      <c r="AD140" s="46">
        <f t="shared" si="437"/>
        <v>0</v>
      </c>
      <c r="AE140" s="46">
        <f t="shared" si="437"/>
        <v>0</v>
      </c>
      <c r="AF140" s="46">
        <f t="shared" si="437"/>
        <v>0</v>
      </c>
      <c r="AG140" s="46">
        <f t="shared" si="437"/>
        <v>0</v>
      </c>
      <c r="AH140" s="46">
        <f t="shared" si="437"/>
        <v>0</v>
      </c>
      <c r="AI140" s="46">
        <f t="shared" si="437"/>
        <v>0</v>
      </c>
      <c r="AJ140" s="46">
        <f t="shared" si="437"/>
        <v>0</v>
      </c>
      <c r="AK140" s="46">
        <f t="shared" si="437"/>
        <v>0</v>
      </c>
      <c r="AL140" s="46">
        <f t="shared" si="437"/>
        <v>0</v>
      </c>
      <c r="AM140" s="46">
        <f t="shared" si="437"/>
        <v>0</v>
      </c>
      <c r="AN140" s="46">
        <f t="shared" si="437"/>
        <v>0</v>
      </c>
      <c r="AO140" s="46">
        <f t="shared" si="437"/>
        <v>0</v>
      </c>
      <c r="AP140" s="46">
        <f t="shared" si="437"/>
        <v>0</v>
      </c>
      <c r="AQ140" s="46">
        <f t="shared" si="437"/>
        <v>0</v>
      </c>
      <c r="AR140" s="47">
        <f t="shared" si="437"/>
        <v>0</v>
      </c>
    </row>
    <row r="141" spans="1:44" s="2" customFormat="1" x14ac:dyDescent="0.35">
      <c r="A141" s="91"/>
      <c r="C141" s="48"/>
      <c r="D141" s="49" t="s">
        <v>86</v>
      </c>
      <c r="E141" s="138"/>
      <c r="F141" s="141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>
        <f>+U139</f>
        <v>441.84842812822609</v>
      </c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</row>
    <row r="142" spans="1:44" x14ac:dyDescent="0.35">
      <c r="A142" s="92"/>
      <c r="C142" s="54"/>
      <c r="D142" s="25" t="s">
        <v>83</v>
      </c>
      <c r="E142" s="138"/>
      <c r="F142" s="138">
        <f t="shared" ref="F142:AR142" si="438">IF(E139&gt;0,+F141-(F141*E140/E139),+F141)</f>
        <v>0</v>
      </c>
      <c r="G142" s="46">
        <f t="shared" si="438"/>
        <v>0</v>
      </c>
      <c r="H142" s="46">
        <f t="shared" si="438"/>
        <v>0</v>
      </c>
      <c r="I142" s="46">
        <f t="shared" si="438"/>
        <v>0</v>
      </c>
      <c r="J142" s="46">
        <f t="shared" si="438"/>
        <v>0</v>
      </c>
      <c r="K142" s="46">
        <f t="shared" si="438"/>
        <v>0</v>
      </c>
      <c r="L142" s="46">
        <f t="shared" si="438"/>
        <v>0</v>
      </c>
      <c r="M142" s="46">
        <f t="shared" si="438"/>
        <v>0</v>
      </c>
      <c r="N142" s="46">
        <f t="shared" si="438"/>
        <v>0</v>
      </c>
      <c r="O142" s="46">
        <f t="shared" si="438"/>
        <v>0</v>
      </c>
      <c r="P142" s="46">
        <f t="shared" si="438"/>
        <v>0</v>
      </c>
      <c r="Q142" s="46">
        <f t="shared" si="438"/>
        <v>0</v>
      </c>
      <c r="R142" s="46">
        <f t="shared" si="438"/>
        <v>0</v>
      </c>
      <c r="S142" s="46">
        <f t="shared" si="438"/>
        <v>0</v>
      </c>
      <c r="T142" s="46">
        <f t="shared" si="438"/>
        <v>0</v>
      </c>
      <c r="U142" s="46">
        <f t="shared" si="438"/>
        <v>0</v>
      </c>
      <c r="V142" s="46">
        <f t="shared" si="438"/>
        <v>321.84842812822609</v>
      </c>
      <c r="W142" s="46">
        <f t="shared" si="438"/>
        <v>0</v>
      </c>
      <c r="X142" s="46">
        <f t="shared" si="438"/>
        <v>0</v>
      </c>
      <c r="Y142" s="46">
        <f t="shared" si="438"/>
        <v>0</v>
      </c>
      <c r="Z142" s="46">
        <f t="shared" si="438"/>
        <v>0</v>
      </c>
      <c r="AA142" s="46">
        <f t="shared" si="438"/>
        <v>0</v>
      </c>
      <c r="AB142" s="46">
        <f t="shared" si="438"/>
        <v>0</v>
      </c>
      <c r="AC142" s="46">
        <f t="shared" si="438"/>
        <v>0</v>
      </c>
      <c r="AD142" s="46">
        <f t="shared" si="438"/>
        <v>0</v>
      </c>
      <c r="AE142" s="46">
        <f t="shared" si="438"/>
        <v>0</v>
      </c>
      <c r="AF142" s="46">
        <f t="shared" si="438"/>
        <v>0</v>
      </c>
      <c r="AG142" s="46">
        <f t="shared" si="438"/>
        <v>0</v>
      </c>
      <c r="AH142" s="46">
        <f t="shared" si="438"/>
        <v>0</v>
      </c>
      <c r="AI142" s="46">
        <f t="shared" si="438"/>
        <v>0</v>
      </c>
      <c r="AJ142" s="46">
        <f t="shared" si="438"/>
        <v>0</v>
      </c>
      <c r="AK142" s="46">
        <f t="shared" si="438"/>
        <v>0</v>
      </c>
      <c r="AL142" s="46">
        <f t="shared" si="438"/>
        <v>0</v>
      </c>
      <c r="AM142" s="46">
        <f t="shared" si="438"/>
        <v>0</v>
      </c>
      <c r="AN142" s="46">
        <f t="shared" si="438"/>
        <v>0</v>
      </c>
      <c r="AO142" s="46">
        <f t="shared" si="438"/>
        <v>0</v>
      </c>
      <c r="AP142" s="46">
        <f t="shared" si="438"/>
        <v>0</v>
      </c>
      <c r="AQ142" s="46">
        <f t="shared" si="438"/>
        <v>0</v>
      </c>
      <c r="AR142" s="47">
        <f t="shared" si="438"/>
        <v>0</v>
      </c>
    </row>
    <row r="143" spans="1:44" x14ac:dyDescent="0.35">
      <c r="A143" s="92"/>
      <c r="C143" s="54"/>
      <c r="D143" s="25" t="s">
        <v>1</v>
      </c>
      <c r="E143" s="138"/>
      <c r="F143" s="138">
        <f t="shared" ref="F143:AR143" si="439">IF(E142&gt;0,+E142*0.25,0)</f>
        <v>0</v>
      </c>
      <c r="G143" s="46">
        <f t="shared" si="439"/>
        <v>0</v>
      </c>
      <c r="H143" s="46">
        <f t="shared" si="439"/>
        <v>0</v>
      </c>
      <c r="I143" s="46">
        <f t="shared" si="439"/>
        <v>0</v>
      </c>
      <c r="J143" s="46">
        <f t="shared" si="439"/>
        <v>0</v>
      </c>
      <c r="K143" s="46">
        <f t="shared" si="439"/>
        <v>0</v>
      </c>
      <c r="L143" s="46">
        <f t="shared" si="439"/>
        <v>0</v>
      </c>
      <c r="M143" s="46">
        <f t="shared" si="439"/>
        <v>0</v>
      </c>
      <c r="N143" s="46">
        <f t="shared" si="439"/>
        <v>0</v>
      </c>
      <c r="O143" s="46">
        <f t="shared" si="439"/>
        <v>0</v>
      </c>
      <c r="P143" s="46">
        <f t="shared" si="439"/>
        <v>0</v>
      </c>
      <c r="Q143" s="46">
        <f t="shared" si="439"/>
        <v>0</v>
      </c>
      <c r="R143" s="46">
        <f t="shared" si="439"/>
        <v>0</v>
      </c>
      <c r="S143" s="46">
        <f t="shared" si="439"/>
        <v>0</v>
      </c>
      <c r="T143" s="46">
        <f t="shared" si="439"/>
        <v>0</v>
      </c>
      <c r="U143" s="46">
        <f t="shared" si="439"/>
        <v>0</v>
      </c>
      <c r="V143" s="46">
        <f t="shared" si="439"/>
        <v>0</v>
      </c>
      <c r="W143" s="46">
        <f t="shared" si="439"/>
        <v>80.462107032056522</v>
      </c>
      <c r="X143" s="46">
        <f t="shared" si="439"/>
        <v>0</v>
      </c>
      <c r="Y143" s="46">
        <f t="shared" si="439"/>
        <v>0</v>
      </c>
      <c r="Z143" s="46">
        <f t="shared" si="439"/>
        <v>0</v>
      </c>
      <c r="AA143" s="46">
        <f t="shared" si="439"/>
        <v>0</v>
      </c>
      <c r="AB143" s="46">
        <f t="shared" si="439"/>
        <v>0</v>
      </c>
      <c r="AC143" s="46">
        <f t="shared" si="439"/>
        <v>0</v>
      </c>
      <c r="AD143" s="46">
        <f t="shared" si="439"/>
        <v>0</v>
      </c>
      <c r="AE143" s="46">
        <f t="shared" si="439"/>
        <v>0</v>
      </c>
      <c r="AF143" s="46">
        <f t="shared" si="439"/>
        <v>0</v>
      </c>
      <c r="AG143" s="46">
        <f t="shared" si="439"/>
        <v>0</v>
      </c>
      <c r="AH143" s="46">
        <f t="shared" si="439"/>
        <v>0</v>
      </c>
      <c r="AI143" s="46">
        <f t="shared" si="439"/>
        <v>0</v>
      </c>
      <c r="AJ143" s="46">
        <f t="shared" si="439"/>
        <v>0</v>
      </c>
      <c r="AK143" s="46">
        <f t="shared" si="439"/>
        <v>0</v>
      </c>
      <c r="AL143" s="46">
        <f t="shared" si="439"/>
        <v>0</v>
      </c>
      <c r="AM143" s="46">
        <f t="shared" si="439"/>
        <v>0</v>
      </c>
      <c r="AN143" s="46">
        <f t="shared" si="439"/>
        <v>0</v>
      </c>
      <c r="AO143" s="46">
        <f t="shared" si="439"/>
        <v>0</v>
      </c>
      <c r="AP143" s="46">
        <f t="shared" si="439"/>
        <v>0</v>
      </c>
      <c r="AQ143" s="46">
        <f t="shared" si="439"/>
        <v>0</v>
      </c>
      <c r="AR143" s="47">
        <f t="shared" si="439"/>
        <v>0</v>
      </c>
    </row>
    <row r="144" spans="1:44" x14ac:dyDescent="0.35">
      <c r="A144" s="92"/>
      <c r="C144" s="54"/>
      <c r="D144" s="25" t="s">
        <v>62</v>
      </c>
      <c r="E144" s="138">
        <v>0</v>
      </c>
      <c r="F144" s="138">
        <v>0</v>
      </c>
      <c r="G144" s="46">
        <f t="shared" ref="G144:AR144" si="440">IF(G139&gt;0,+F144*(1+G$6),+IF(G141&gt;0,+F144*(1+G$6)/2,0))</f>
        <v>0</v>
      </c>
      <c r="H144" s="46">
        <f t="shared" si="440"/>
        <v>0</v>
      </c>
      <c r="I144" s="46">
        <f t="shared" si="440"/>
        <v>0</v>
      </c>
      <c r="J144" s="46">
        <f t="shared" si="440"/>
        <v>0</v>
      </c>
      <c r="K144" s="46">
        <f t="shared" si="440"/>
        <v>0</v>
      </c>
      <c r="L144" s="46">
        <f t="shared" si="440"/>
        <v>0</v>
      </c>
      <c r="M144" s="46">
        <f t="shared" si="440"/>
        <v>0</v>
      </c>
      <c r="N144" s="46">
        <f t="shared" si="440"/>
        <v>0</v>
      </c>
      <c r="O144" s="46">
        <f t="shared" si="440"/>
        <v>0</v>
      </c>
      <c r="P144" s="46">
        <f t="shared" si="440"/>
        <v>0</v>
      </c>
      <c r="Q144" s="46">
        <f t="shared" si="440"/>
        <v>0</v>
      </c>
      <c r="R144" s="46">
        <f t="shared" si="440"/>
        <v>0</v>
      </c>
      <c r="S144" s="46">
        <f t="shared" si="440"/>
        <v>0</v>
      </c>
      <c r="T144" s="46">
        <f t="shared" si="440"/>
        <v>0</v>
      </c>
      <c r="U144" s="46">
        <f t="shared" si="440"/>
        <v>0</v>
      </c>
      <c r="V144" s="46">
        <f t="shared" si="440"/>
        <v>0</v>
      </c>
      <c r="W144" s="46">
        <f t="shared" si="440"/>
        <v>0</v>
      </c>
      <c r="X144" s="46">
        <f t="shared" si="440"/>
        <v>0</v>
      </c>
      <c r="Y144" s="46">
        <f t="shared" si="440"/>
        <v>0</v>
      </c>
      <c r="Z144" s="46">
        <f t="shared" si="440"/>
        <v>0</v>
      </c>
      <c r="AA144" s="46">
        <f t="shared" si="440"/>
        <v>0</v>
      </c>
      <c r="AB144" s="46">
        <f t="shared" si="440"/>
        <v>0</v>
      </c>
      <c r="AC144" s="46">
        <f t="shared" si="440"/>
        <v>0</v>
      </c>
      <c r="AD144" s="46">
        <f t="shared" si="440"/>
        <v>0</v>
      </c>
      <c r="AE144" s="46">
        <f t="shared" si="440"/>
        <v>0</v>
      </c>
      <c r="AF144" s="46">
        <f t="shared" si="440"/>
        <v>0</v>
      </c>
      <c r="AG144" s="46">
        <f t="shared" si="440"/>
        <v>0</v>
      </c>
      <c r="AH144" s="46">
        <f t="shared" si="440"/>
        <v>0</v>
      </c>
      <c r="AI144" s="46">
        <f t="shared" si="440"/>
        <v>0</v>
      </c>
      <c r="AJ144" s="46">
        <f t="shared" si="440"/>
        <v>0</v>
      </c>
      <c r="AK144" s="46">
        <f t="shared" si="440"/>
        <v>0</v>
      </c>
      <c r="AL144" s="46">
        <f t="shared" si="440"/>
        <v>0</v>
      </c>
      <c r="AM144" s="46">
        <f t="shared" si="440"/>
        <v>0</v>
      </c>
      <c r="AN144" s="46">
        <f t="shared" si="440"/>
        <v>0</v>
      </c>
      <c r="AO144" s="46">
        <f t="shared" si="440"/>
        <v>0</v>
      </c>
      <c r="AP144" s="46">
        <f t="shared" si="440"/>
        <v>0</v>
      </c>
      <c r="AQ144" s="46">
        <f t="shared" si="440"/>
        <v>0</v>
      </c>
      <c r="AR144" s="47">
        <f t="shared" si="440"/>
        <v>0</v>
      </c>
    </row>
    <row r="145" spans="1:44" s="2" customFormat="1" x14ac:dyDescent="0.35">
      <c r="A145" s="94"/>
      <c r="C145" s="89"/>
      <c r="D145" s="56" t="s">
        <v>51</v>
      </c>
      <c r="E145" s="146">
        <f t="shared" ref="E145:AR145" si="441">+E$6</f>
        <v>0.05</v>
      </c>
      <c r="F145" s="146">
        <f t="shared" si="441"/>
        <v>0.04</v>
      </c>
      <c r="G145" s="77">
        <f t="shared" si="441"/>
        <v>3.5000000000000003E-2</v>
      </c>
      <c r="H145" s="77">
        <f t="shared" si="441"/>
        <v>2.5000000000000001E-2</v>
      </c>
      <c r="I145" s="77">
        <f t="shared" si="441"/>
        <v>2.2499999999999999E-2</v>
      </c>
      <c r="J145" s="77">
        <f t="shared" si="441"/>
        <v>0.02</v>
      </c>
      <c r="K145" s="77">
        <f t="shared" si="441"/>
        <v>0.02</v>
      </c>
      <c r="L145" s="77">
        <f t="shared" si="441"/>
        <v>0.02</v>
      </c>
      <c r="M145" s="77">
        <f t="shared" si="441"/>
        <v>0.02</v>
      </c>
      <c r="N145" s="77">
        <f t="shared" si="441"/>
        <v>0.02</v>
      </c>
      <c r="O145" s="77">
        <f t="shared" si="441"/>
        <v>0.02</v>
      </c>
      <c r="P145" s="77">
        <f t="shared" si="441"/>
        <v>0.02</v>
      </c>
      <c r="Q145" s="77">
        <f t="shared" si="441"/>
        <v>0.02</v>
      </c>
      <c r="R145" s="77">
        <f t="shared" si="441"/>
        <v>0.02</v>
      </c>
      <c r="S145" s="77">
        <f t="shared" si="441"/>
        <v>0.02</v>
      </c>
      <c r="T145" s="77">
        <f t="shared" si="441"/>
        <v>0.02</v>
      </c>
      <c r="U145" s="77">
        <f t="shared" si="441"/>
        <v>0.02</v>
      </c>
      <c r="V145" s="77">
        <f t="shared" si="441"/>
        <v>0.02</v>
      </c>
      <c r="W145" s="77">
        <f t="shared" si="441"/>
        <v>0.02</v>
      </c>
      <c r="X145" s="77">
        <f t="shared" si="441"/>
        <v>0.02</v>
      </c>
      <c r="Y145" s="77">
        <f t="shared" si="441"/>
        <v>0.02</v>
      </c>
      <c r="Z145" s="77">
        <f t="shared" si="441"/>
        <v>0.02</v>
      </c>
      <c r="AA145" s="77">
        <f t="shared" si="441"/>
        <v>0.02</v>
      </c>
      <c r="AB145" s="77">
        <f t="shared" si="441"/>
        <v>0.02</v>
      </c>
      <c r="AC145" s="77">
        <f t="shared" si="441"/>
        <v>0.02</v>
      </c>
      <c r="AD145" s="77">
        <f t="shared" si="441"/>
        <v>0.02</v>
      </c>
      <c r="AE145" s="77">
        <f t="shared" si="441"/>
        <v>0.02</v>
      </c>
      <c r="AF145" s="77">
        <f t="shared" si="441"/>
        <v>0.02</v>
      </c>
      <c r="AG145" s="77">
        <f t="shared" si="441"/>
        <v>0.02</v>
      </c>
      <c r="AH145" s="77">
        <f t="shared" si="441"/>
        <v>0.02</v>
      </c>
      <c r="AI145" s="77">
        <f t="shared" si="441"/>
        <v>0.02</v>
      </c>
      <c r="AJ145" s="77">
        <f t="shared" si="441"/>
        <v>0.02</v>
      </c>
      <c r="AK145" s="77">
        <f t="shared" si="441"/>
        <v>0.02</v>
      </c>
      <c r="AL145" s="77">
        <f t="shared" si="441"/>
        <v>0.02</v>
      </c>
      <c r="AM145" s="77">
        <f t="shared" si="441"/>
        <v>0.02</v>
      </c>
      <c r="AN145" s="77">
        <f t="shared" si="441"/>
        <v>0.02</v>
      </c>
      <c r="AO145" s="77">
        <f t="shared" si="441"/>
        <v>0.02</v>
      </c>
      <c r="AP145" s="77">
        <f t="shared" si="441"/>
        <v>0.02</v>
      </c>
      <c r="AQ145" s="77">
        <f t="shared" si="441"/>
        <v>0.02</v>
      </c>
      <c r="AR145" s="80">
        <f t="shared" si="441"/>
        <v>0.02</v>
      </c>
    </row>
    <row r="146" spans="1:44" x14ac:dyDescent="0.35"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</row>
    <row r="147" spans="1:44" s="3" customFormat="1" x14ac:dyDescent="0.35">
      <c r="C147" s="37"/>
    </row>
    <row r="148" spans="1:44" s="2" customFormat="1" x14ac:dyDescent="0.35">
      <c r="A148" s="117"/>
      <c r="C148" s="115" t="s">
        <v>77</v>
      </c>
      <c r="D148" s="85" t="s">
        <v>78</v>
      </c>
      <c r="E148" s="134">
        <v>48</v>
      </c>
      <c r="F148" s="134">
        <f>+E148-F150</f>
        <v>45</v>
      </c>
      <c r="G148" s="42">
        <f t="shared" ref="G148:AR148" si="442">+F148-G150</f>
        <v>0</v>
      </c>
      <c r="H148" s="42">
        <f t="shared" si="442"/>
        <v>0</v>
      </c>
      <c r="I148" s="42">
        <f t="shared" si="442"/>
        <v>0</v>
      </c>
      <c r="J148" s="42">
        <f t="shared" si="442"/>
        <v>0</v>
      </c>
      <c r="K148" s="42">
        <f t="shared" si="442"/>
        <v>0</v>
      </c>
      <c r="L148" s="42">
        <f t="shared" si="442"/>
        <v>0</v>
      </c>
      <c r="M148" s="42">
        <f t="shared" si="442"/>
        <v>0</v>
      </c>
      <c r="N148" s="42">
        <f t="shared" si="442"/>
        <v>0</v>
      </c>
      <c r="O148" s="42">
        <f t="shared" si="442"/>
        <v>0</v>
      </c>
      <c r="P148" s="42">
        <f t="shared" si="442"/>
        <v>0</v>
      </c>
      <c r="Q148" s="42">
        <f t="shared" si="442"/>
        <v>0</v>
      </c>
      <c r="R148" s="42">
        <f t="shared" si="442"/>
        <v>0</v>
      </c>
      <c r="S148" s="42">
        <f t="shared" si="442"/>
        <v>0</v>
      </c>
      <c r="T148" s="42">
        <f t="shared" si="442"/>
        <v>0</v>
      </c>
      <c r="U148" s="42">
        <f t="shared" si="442"/>
        <v>0</v>
      </c>
      <c r="V148" s="42">
        <f t="shared" si="442"/>
        <v>0</v>
      </c>
      <c r="W148" s="42">
        <f t="shared" si="442"/>
        <v>0</v>
      </c>
      <c r="X148" s="42">
        <f t="shared" si="442"/>
        <v>0</v>
      </c>
      <c r="Y148" s="42">
        <f t="shared" si="442"/>
        <v>0</v>
      </c>
      <c r="Z148" s="42">
        <f t="shared" si="442"/>
        <v>0</v>
      </c>
      <c r="AA148" s="42">
        <f t="shared" si="442"/>
        <v>0</v>
      </c>
      <c r="AB148" s="42">
        <f t="shared" si="442"/>
        <v>0</v>
      </c>
      <c r="AC148" s="42">
        <f t="shared" si="442"/>
        <v>0</v>
      </c>
      <c r="AD148" s="42">
        <f t="shared" si="442"/>
        <v>0</v>
      </c>
      <c r="AE148" s="42">
        <f t="shared" si="442"/>
        <v>0</v>
      </c>
      <c r="AF148" s="42">
        <f t="shared" si="442"/>
        <v>0</v>
      </c>
      <c r="AG148" s="42">
        <f t="shared" si="442"/>
        <v>0</v>
      </c>
      <c r="AH148" s="42">
        <f t="shared" si="442"/>
        <v>0</v>
      </c>
      <c r="AI148" s="42">
        <f t="shared" si="442"/>
        <v>0</v>
      </c>
      <c r="AJ148" s="42">
        <f t="shared" si="442"/>
        <v>0</v>
      </c>
      <c r="AK148" s="42">
        <f t="shared" si="442"/>
        <v>0</v>
      </c>
      <c r="AL148" s="42">
        <f t="shared" si="442"/>
        <v>0</v>
      </c>
      <c r="AM148" s="42">
        <f t="shared" si="442"/>
        <v>0</v>
      </c>
      <c r="AN148" s="42">
        <f t="shared" si="442"/>
        <v>0</v>
      </c>
      <c r="AO148" s="42">
        <f t="shared" si="442"/>
        <v>0</v>
      </c>
      <c r="AP148" s="42">
        <f t="shared" si="442"/>
        <v>0</v>
      </c>
      <c r="AQ148" s="42">
        <f t="shared" si="442"/>
        <v>0</v>
      </c>
      <c r="AR148" s="43">
        <f t="shared" si="442"/>
        <v>0</v>
      </c>
    </row>
    <row r="149" spans="1:44" s="2" customFormat="1" x14ac:dyDescent="0.35">
      <c r="A149" s="118"/>
      <c r="C149" s="48"/>
      <c r="D149" s="49" t="s">
        <v>79</v>
      </c>
      <c r="E149" s="138">
        <v>33</v>
      </c>
      <c r="F149" s="138">
        <f>+E149-F151</f>
        <v>0</v>
      </c>
      <c r="G149" s="46">
        <f t="shared" ref="G149:AR149" si="443">+F149-G151</f>
        <v>0</v>
      </c>
      <c r="H149" s="46">
        <f t="shared" si="443"/>
        <v>0</v>
      </c>
      <c r="I149" s="46">
        <f t="shared" si="443"/>
        <v>0</v>
      </c>
      <c r="J149" s="46">
        <f t="shared" si="443"/>
        <v>0</v>
      </c>
      <c r="K149" s="46">
        <f t="shared" si="443"/>
        <v>0</v>
      </c>
      <c r="L149" s="46">
        <f t="shared" si="443"/>
        <v>0</v>
      </c>
      <c r="M149" s="46">
        <f t="shared" si="443"/>
        <v>0</v>
      </c>
      <c r="N149" s="46">
        <f t="shared" si="443"/>
        <v>0</v>
      </c>
      <c r="O149" s="46">
        <f t="shared" si="443"/>
        <v>0</v>
      </c>
      <c r="P149" s="46">
        <f t="shared" si="443"/>
        <v>0</v>
      </c>
      <c r="Q149" s="46">
        <f t="shared" si="443"/>
        <v>0</v>
      </c>
      <c r="R149" s="46">
        <f t="shared" si="443"/>
        <v>0</v>
      </c>
      <c r="S149" s="46">
        <f t="shared" si="443"/>
        <v>0</v>
      </c>
      <c r="T149" s="46">
        <f t="shared" si="443"/>
        <v>0</v>
      </c>
      <c r="U149" s="46">
        <f t="shared" si="443"/>
        <v>0</v>
      </c>
      <c r="V149" s="46">
        <f t="shared" si="443"/>
        <v>0</v>
      </c>
      <c r="W149" s="46">
        <f t="shared" si="443"/>
        <v>0</v>
      </c>
      <c r="X149" s="46">
        <f t="shared" si="443"/>
        <v>0</v>
      </c>
      <c r="Y149" s="46">
        <f t="shared" si="443"/>
        <v>0</v>
      </c>
      <c r="Z149" s="46">
        <f t="shared" si="443"/>
        <v>0</v>
      </c>
      <c r="AA149" s="46">
        <f t="shared" si="443"/>
        <v>0</v>
      </c>
      <c r="AB149" s="46">
        <f t="shared" si="443"/>
        <v>0</v>
      </c>
      <c r="AC149" s="46">
        <f t="shared" si="443"/>
        <v>0</v>
      </c>
      <c r="AD149" s="46">
        <f t="shared" si="443"/>
        <v>0</v>
      </c>
      <c r="AE149" s="46">
        <f t="shared" si="443"/>
        <v>0</v>
      </c>
      <c r="AF149" s="46">
        <f t="shared" si="443"/>
        <v>0</v>
      </c>
      <c r="AG149" s="46">
        <f t="shared" si="443"/>
        <v>0</v>
      </c>
      <c r="AH149" s="46">
        <f t="shared" si="443"/>
        <v>0</v>
      </c>
      <c r="AI149" s="46">
        <f t="shared" si="443"/>
        <v>0</v>
      </c>
      <c r="AJ149" s="46">
        <f t="shared" si="443"/>
        <v>0</v>
      </c>
      <c r="AK149" s="46">
        <f t="shared" si="443"/>
        <v>0</v>
      </c>
      <c r="AL149" s="46">
        <f t="shared" si="443"/>
        <v>0</v>
      </c>
      <c r="AM149" s="46">
        <f t="shared" si="443"/>
        <v>0</v>
      </c>
      <c r="AN149" s="46">
        <f t="shared" si="443"/>
        <v>0</v>
      </c>
      <c r="AO149" s="46">
        <f t="shared" si="443"/>
        <v>0</v>
      </c>
      <c r="AP149" s="46">
        <f t="shared" si="443"/>
        <v>0</v>
      </c>
      <c r="AQ149" s="46">
        <f t="shared" si="443"/>
        <v>0</v>
      </c>
      <c r="AR149" s="47">
        <f t="shared" si="443"/>
        <v>0</v>
      </c>
    </row>
    <row r="150" spans="1:44" s="2" customFormat="1" x14ac:dyDescent="0.35">
      <c r="A150" s="118"/>
      <c r="C150" s="48"/>
      <c r="D150" s="49" t="s">
        <v>91</v>
      </c>
      <c r="E150" s="138"/>
      <c r="F150" s="141">
        <v>3</v>
      </c>
      <c r="G150" s="84">
        <v>45</v>
      </c>
      <c r="H150" s="84">
        <f t="shared" ref="H150:S150" si="444">IF(G148&gt;=G150,+G150,G148)</f>
        <v>0</v>
      </c>
      <c r="I150" s="84">
        <f t="shared" si="444"/>
        <v>0</v>
      </c>
      <c r="J150" s="84">
        <f t="shared" si="444"/>
        <v>0</v>
      </c>
      <c r="K150" s="84">
        <f t="shared" si="444"/>
        <v>0</v>
      </c>
      <c r="L150" s="84">
        <f t="shared" si="444"/>
        <v>0</v>
      </c>
      <c r="M150" s="84">
        <f t="shared" si="444"/>
        <v>0</v>
      </c>
      <c r="N150" s="84">
        <f t="shared" si="444"/>
        <v>0</v>
      </c>
      <c r="O150" s="84">
        <f t="shared" si="444"/>
        <v>0</v>
      </c>
      <c r="P150" s="84">
        <f t="shared" si="444"/>
        <v>0</v>
      </c>
      <c r="Q150" s="84">
        <f t="shared" si="444"/>
        <v>0</v>
      </c>
      <c r="R150" s="84">
        <f t="shared" si="444"/>
        <v>0</v>
      </c>
      <c r="S150" s="84">
        <f t="shared" si="444"/>
        <v>0</v>
      </c>
      <c r="T150" s="84">
        <f>IF(S148&gt;=S150,+S150,S148)</f>
        <v>0</v>
      </c>
      <c r="U150" s="84">
        <f t="shared" ref="U150:AR150" si="445">IF(T148&gt;=T150,+T150,T148)</f>
        <v>0</v>
      </c>
      <c r="V150" s="84">
        <f t="shared" si="445"/>
        <v>0</v>
      </c>
      <c r="W150" s="84">
        <f t="shared" si="445"/>
        <v>0</v>
      </c>
      <c r="X150" s="84">
        <f t="shared" si="445"/>
        <v>0</v>
      </c>
      <c r="Y150" s="84">
        <f t="shared" si="445"/>
        <v>0</v>
      </c>
      <c r="Z150" s="84">
        <f t="shared" si="445"/>
        <v>0</v>
      </c>
      <c r="AA150" s="84">
        <f t="shared" si="445"/>
        <v>0</v>
      </c>
      <c r="AB150" s="84">
        <f t="shared" si="445"/>
        <v>0</v>
      </c>
      <c r="AC150" s="84">
        <f t="shared" si="445"/>
        <v>0</v>
      </c>
      <c r="AD150" s="84">
        <f t="shared" si="445"/>
        <v>0</v>
      </c>
      <c r="AE150" s="84">
        <f t="shared" si="445"/>
        <v>0</v>
      </c>
      <c r="AF150" s="84">
        <f t="shared" si="445"/>
        <v>0</v>
      </c>
      <c r="AG150" s="84">
        <f t="shared" si="445"/>
        <v>0</v>
      </c>
      <c r="AH150" s="84">
        <f t="shared" si="445"/>
        <v>0</v>
      </c>
      <c r="AI150" s="84">
        <f t="shared" si="445"/>
        <v>0</v>
      </c>
      <c r="AJ150" s="84">
        <f t="shared" si="445"/>
        <v>0</v>
      </c>
      <c r="AK150" s="84">
        <f t="shared" si="445"/>
        <v>0</v>
      </c>
      <c r="AL150" s="84">
        <f t="shared" si="445"/>
        <v>0</v>
      </c>
      <c r="AM150" s="84">
        <f t="shared" si="445"/>
        <v>0</v>
      </c>
      <c r="AN150" s="84">
        <f t="shared" si="445"/>
        <v>0</v>
      </c>
      <c r="AO150" s="84">
        <f t="shared" si="445"/>
        <v>0</v>
      </c>
      <c r="AP150" s="84">
        <f t="shared" si="445"/>
        <v>0</v>
      </c>
      <c r="AQ150" s="84">
        <f t="shared" si="445"/>
        <v>0</v>
      </c>
      <c r="AR150" s="84">
        <f t="shared" si="445"/>
        <v>0</v>
      </c>
    </row>
    <row r="151" spans="1:44" s="2" customFormat="1" x14ac:dyDescent="0.35">
      <c r="A151" s="118"/>
      <c r="C151" s="48"/>
      <c r="D151" s="49" t="s">
        <v>92</v>
      </c>
      <c r="E151" s="138"/>
      <c r="F151" s="141">
        <f>+E149</f>
        <v>33</v>
      </c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84"/>
      <c r="AQ151" s="84"/>
      <c r="AR151" s="84"/>
    </row>
    <row r="152" spans="1:44" s="2" customFormat="1" x14ac:dyDescent="0.35">
      <c r="A152" s="118"/>
      <c r="C152" s="48"/>
      <c r="D152" s="49" t="s">
        <v>90</v>
      </c>
      <c r="E152" s="138"/>
      <c r="F152" s="138">
        <f>+SUM(E148:F149)/2*F153</f>
        <v>4.032</v>
      </c>
      <c r="G152" s="46">
        <f t="shared" ref="G152:AR152" si="446">+SUM(F148:G149)/2*G153</f>
        <v>1.2600000000000002</v>
      </c>
      <c r="H152" s="46">
        <f t="shared" si="446"/>
        <v>0</v>
      </c>
      <c r="I152" s="46">
        <f t="shared" si="446"/>
        <v>0</v>
      </c>
      <c r="J152" s="46">
        <f t="shared" si="446"/>
        <v>0</v>
      </c>
      <c r="K152" s="46">
        <f t="shared" si="446"/>
        <v>0</v>
      </c>
      <c r="L152" s="46">
        <f t="shared" si="446"/>
        <v>0</v>
      </c>
      <c r="M152" s="46">
        <f t="shared" si="446"/>
        <v>0</v>
      </c>
      <c r="N152" s="46">
        <f t="shared" si="446"/>
        <v>0</v>
      </c>
      <c r="O152" s="46">
        <f t="shared" si="446"/>
        <v>0</v>
      </c>
      <c r="P152" s="46">
        <f t="shared" si="446"/>
        <v>0</v>
      </c>
      <c r="Q152" s="46">
        <f t="shared" si="446"/>
        <v>0</v>
      </c>
      <c r="R152" s="46">
        <f t="shared" si="446"/>
        <v>0</v>
      </c>
      <c r="S152" s="46">
        <f t="shared" si="446"/>
        <v>0</v>
      </c>
      <c r="T152" s="46">
        <f t="shared" si="446"/>
        <v>0</v>
      </c>
      <c r="U152" s="46">
        <f t="shared" si="446"/>
        <v>0</v>
      </c>
      <c r="V152" s="46">
        <f t="shared" si="446"/>
        <v>0</v>
      </c>
      <c r="W152" s="46">
        <f t="shared" si="446"/>
        <v>0</v>
      </c>
      <c r="X152" s="46">
        <f t="shared" si="446"/>
        <v>0</v>
      </c>
      <c r="Y152" s="46">
        <f t="shared" si="446"/>
        <v>0</v>
      </c>
      <c r="Z152" s="46">
        <f t="shared" si="446"/>
        <v>0</v>
      </c>
      <c r="AA152" s="46">
        <f t="shared" si="446"/>
        <v>0</v>
      </c>
      <c r="AB152" s="46">
        <f t="shared" si="446"/>
        <v>0</v>
      </c>
      <c r="AC152" s="46">
        <f t="shared" si="446"/>
        <v>0</v>
      </c>
      <c r="AD152" s="46">
        <f t="shared" si="446"/>
        <v>0</v>
      </c>
      <c r="AE152" s="46">
        <f t="shared" si="446"/>
        <v>0</v>
      </c>
      <c r="AF152" s="46">
        <f t="shared" si="446"/>
        <v>0</v>
      </c>
      <c r="AG152" s="46">
        <f t="shared" si="446"/>
        <v>0</v>
      </c>
      <c r="AH152" s="46">
        <f t="shared" si="446"/>
        <v>0</v>
      </c>
      <c r="AI152" s="46">
        <f t="shared" si="446"/>
        <v>0</v>
      </c>
      <c r="AJ152" s="46">
        <f t="shared" si="446"/>
        <v>0</v>
      </c>
      <c r="AK152" s="46">
        <f t="shared" si="446"/>
        <v>0</v>
      </c>
      <c r="AL152" s="46">
        <f t="shared" si="446"/>
        <v>0</v>
      </c>
      <c r="AM152" s="46">
        <f t="shared" si="446"/>
        <v>0</v>
      </c>
      <c r="AN152" s="46">
        <f t="shared" si="446"/>
        <v>0</v>
      </c>
      <c r="AO152" s="46">
        <f t="shared" si="446"/>
        <v>0</v>
      </c>
      <c r="AP152" s="46">
        <f t="shared" si="446"/>
        <v>0</v>
      </c>
      <c r="AQ152" s="46">
        <f t="shared" si="446"/>
        <v>0</v>
      </c>
      <c r="AR152" s="47">
        <f t="shared" si="446"/>
        <v>0</v>
      </c>
    </row>
    <row r="153" spans="1:44" s="2" customFormat="1" x14ac:dyDescent="0.35">
      <c r="A153" s="119"/>
      <c r="C153" s="89"/>
      <c r="D153" s="116" t="s">
        <v>89</v>
      </c>
      <c r="E153" s="143">
        <f t="shared" ref="E153:AK153" si="447">+E6*1.6</f>
        <v>8.0000000000000016E-2</v>
      </c>
      <c r="F153" s="143">
        <f t="shared" si="447"/>
        <v>6.4000000000000001E-2</v>
      </c>
      <c r="G153" s="70">
        <f t="shared" si="447"/>
        <v>5.6000000000000008E-2</v>
      </c>
      <c r="H153" s="70">
        <f t="shared" si="447"/>
        <v>4.0000000000000008E-2</v>
      </c>
      <c r="I153" s="70">
        <f t="shared" si="447"/>
        <v>3.5999999999999997E-2</v>
      </c>
      <c r="J153" s="70">
        <f t="shared" si="447"/>
        <v>3.2000000000000001E-2</v>
      </c>
      <c r="K153" s="70">
        <f t="shared" si="447"/>
        <v>3.2000000000000001E-2</v>
      </c>
      <c r="L153" s="70">
        <f t="shared" si="447"/>
        <v>3.2000000000000001E-2</v>
      </c>
      <c r="M153" s="70">
        <f t="shared" si="447"/>
        <v>3.2000000000000001E-2</v>
      </c>
      <c r="N153" s="70">
        <f t="shared" si="447"/>
        <v>3.2000000000000001E-2</v>
      </c>
      <c r="O153" s="70">
        <f t="shared" si="447"/>
        <v>3.2000000000000001E-2</v>
      </c>
      <c r="P153" s="70">
        <f t="shared" si="447"/>
        <v>3.2000000000000001E-2</v>
      </c>
      <c r="Q153" s="70">
        <f t="shared" si="447"/>
        <v>3.2000000000000001E-2</v>
      </c>
      <c r="R153" s="70">
        <f t="shared" si="447"/>
        <v>3.2000000000000001E-2</v>
      </c>
      <c r="S153" s="70">
        <f t="shared" si="447"/>
        <v>3.2000000000000001E-2</v>
      </c>
      <c r="T153" s="70">
        <f t="shared" si="447"/>
        <v>3.2000000000000001E-2</v>
      </c>
      <c r="U153" s="70">
        <f t="shared" si="447"/>
        <v>3.2000000000000001E-2</v>
      </c>
      <c r="V153" s="70">
        <f t="shared" si="447"/>
        <v>3.2000000000000001E-2</v>
      </c>
      <c r="W153" s="70">
        <f t="shared" si="447"/>
        <v>3.2000000000000001E-2</v>
      </c>
      <c r="X153" s="70">
        <f t="shared" si="447"/>
        <v>3.2000000000000001E-2</v>
      </c>
      <c r="Y153" s="70">
        <f t="shared" si="447"/>
        <v>3.2000000000000001E-2</v>
      </c>
      <c r="Z153" s="70">
        <f t="shared" si="447"/>
        <v>3.2000000000000001E-2</v>
      </c>
      <c r="AA153" s="70">
        <f t="shared" si="447"/>
        <v>3.2000000000000001E-2</v>
      </c>
      <c r="AB153" s="70">
        <f t="shared" si="447"/>
        <v>3.2000000000000001E-2</v>
      </c>
      <c r="AC153" s="70">
        <f t="shared" si="447"/>
        <v>3.2000000000000001E-2</v>
      </c>
      <c r="AD153" s="70">
        <f t="shared" si="447"/>
        <v>3.2000000000000001E-2</v>
      </c>
      <c r="AE153" s="70">
        <f t="shared" si="447"/>
        <v>3.2000000000000001E-2</v>
      </c>
      <c r="AF153" s="70">
        <f t="shared" si="447"/>
        <v>3.2000000000000001E-2</v>
      </c>
      <c r="AG153" s="70">
        <f t="shared" si="447"/>
        <v>3.2000000000000001E-2</v>
      </c>
      <c r="AH153" s="70">
        <f t="shared" si="447"/>
        <v>3.2000000000000001E-2</v>
      </c>
      <c r="AI153" s="70">
        <f t="shared" si="447"/>
        <v>3.2000000000000001E-2</v>
      </c>
      <c r="AJ153" s="70">
        <f t="shared" si="447"/>
        <v>3.2000000000000001E-2</v>
      </c>
      <c r="AK153" s="70">
        <f t="shared" si="447"/>
        <v>3.2000000000000001E-2</v>
      </c>
      <c r="AL153" s="70">
        <f t="shared" ref="AL153:AR153" si="448">+AL6*1.6</f>
        <v>3.2000000000000001E-2</v>
      </c>
      <c r="AM153" s="70">
        <f t="shared" si="448"/>
        <v>3.2000000000000001E-2</v>
      </c>
      <c r="AN153" s="70">
        <f t="shared" si="448"/>
        <v>3.2000000000000001E-2</v>
      </c>
      <c r="AO153" s="70">
        <f t="shared" si="448"/>
        <v>3.2000000000000001E-2</v>
      </c>
      <c r="AP153" s="70">
        <f t="shared" si="448"/>
        <v>3.2000000000000001E-2</v>
      </c>
      <c r="AQ153" s="70">
        <f t="shared" si="448"/>
        <v>3.2000000000000001E-2</v>
      </c>
      <c r="AR153" s="71">
        <f t="shared" si="448"/>
        <v>3.2000000000000001E-2</v>
      </c>
    </row>
    <row r="154" spans="1:44" s="2" customFormat="1" x14ac:dyDescent="0.35">
      <c r="D154" s="86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</row>
    <row r="156" spans="1:44" x14ac:dyDescent="0.35">
      <c r="A156" s="121"/>
      <c r="B156" s="11"/>
      <c r="C156" s="40" t="s">
        <v>30</v>
      </c>
      <c r="D156" s="59"/>
      <c r="E156" s="42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73"/>
    </row>
    <row r="157" spans="1:44" ht="14" customHeight="1" x14ac:dyDescent="0.35">
      <c r="A157" s="122"/>
      <c r="B157" s="11"/>
      <c r="C157" s="54"/>
      <c r="D157" t="s">
        <v>71</v>
      </c>
      <c r="E157" s="138">
        <f t="shared" ref="E157:AK157" si="449">-E23-E42*E4-E34*E4</f>
        <v>0</v>
      </c>
      <c r="F157" s="138">
        <f t="shared" si="449"/>
        <v>111.30000000000001</v>
      </c>
      <c r="G157" s="50">
        <f t="shared" si="449"/>
        <v>136.85</v>
      </c>
      <c r="H157" s="50">
        <f t="shared" si="449"/>
        <v>165</v>
      </c>
      <c r="I157" s="50">
        <f t="shared" si="449"/>
        <v>165</v>
      </c>
      <c r="J157" s="50">
        <f t="shared" si="449"/>
        <v>138.60000000000002</v>
      </c>
      <c r="K157" s="50">
        <f t="shared" si="449"/>
        <v>0</v>
      </c>
      <c r="L157" s="50">
        <f t="shared" si="449"/>
        <v>0</v>
      </c>
      <c r="M157" s="50">
        <f t="shared" si="449"/>
        <v>0</v>
      </c>
      <c r="N157" s="50">
        <f t="shared" si="449"/>
        <v>0</v>
      </c>
      <c r="O157" s="50">
        <f t="shared" si="449"/>
        <v>0</v>
      </c>
      <c r="P157" s="50">
        <f t="shared" si="449"/>
        <v>0</v>
      </c>
      <c r="Q157" s="50">
        <f t="shared" si="449"/>
        <v>0</v>
      </c>
      <c r="R157" s="50">
        <f t="shared" si="449"/>
        <v>0</v>
      </c>
      <c r="S157" s="50">
        <f t="shared" si="449"/>
        <v>0</v>
      </c>
      <c r="T157" s="50">
        <f t="shared" si="449"/>
        <v>0</v>
      </c>
      <c r="U157" s="50">
        <f t="shared" si="449"/>
        <v>0</v>
      </c>
      <c r="V157" s="50">
        <f t="shared" si="449"/>
        <v>0</v>
      </c>
      <c r="W157" s="50">
        <f t="shared" si="449"/>
        <v>0</v>
      </c>
      <c r="X157" s="50">
        <f t="shared" si="449"/>
        <v>0</v>
      </c>
      <c r="Y157" s="50">
        <f t="shared" si="449"/>
        <v>0</v>
      </c>
      <c r="Z157" s="50">
        <f t="shared" si="449"/>
        <v>0</v>
      </c>
      <c r="AA157" s="50">
        <f t="shared" si="449"/>
        <v>0</v>
      </c>
      <c r="AB157" s="50">
        <f t="shared" si="449"/>
        <v>0</v>
      </c>
      <c r="AC157" s="50">
        <f t="shared" si="449"/>
        <v>0</v>
      </c>
      <c r="AD157" s="50">
        <f t="shared" si="449"/>
        <v>0</v>
      </c>
      <c r="AE157" s="50">
        <f t="shared" si="449"/>
        <v>0</v>
      </c>
      <c r="AF157" s="50">
        <f t="shared" si="449"/>
        <v>0</v>
      </c>
      <c r="AG157" s="50">
        <f t="shared" si="449"/>
        <v>0</v>
      </c>
      <c r="AH157" s="50">
        <f t="shared" si="449"/>
        <v>0</v>
      </c>
      <c r="AI157" s="50">
        <f t="shared" si="449"/>
        <v>0</v>
      </c>
      <c r="AJ157" s="50">
        <f t="shared" si="449"/>
        <v>0</v>
      </c>
      <c r="AK157" s="50">
        <f t="shared" si="449"/>
        <v>0</v>
      </c>
      <c r="AL157" s="50">
        <f t="shared" ref="AL157:AR157" si="450">-AL23-AL42*AL4-AL34*AL4</f>
        <v>0</v>
      </c>
      <c r="AM157" s="50">
        <f t="shared" si="450"/>
        <v>0</v>
      </c>
      <c r="AN157" s="50">
        <f t="shared" si="450"/>
        <v>0</v>
      </c>
      <c r="AO157" s="50">
        <f t="shared" si="450"/>
        <v>0</v>
      </c>
      <c r="AP157" s="50">
        <f t="shared" si="450"/>
        <v>0</v>
      </c>
      <c r="AQ157" s="50">
        <f t="shared" si="450"/>
        <v>0</v>
      </c>
      <c r="AR157" s="120">
        <f t="shared" si="450"/>
        <v>0</v>
      </c>
    </row>
    <row r="158" spans="1:44" ht="14" customHeight="1" x14ac:dyDescent="0.35">
      <c r="A158" s="122"/>
      <c r="B158" s="11"/>
      <c r="C158" s="54"/>
      <c r="D158" t="s">
        <v>97</v>
      </c>
      <c r="E158" s="138">
        <f>-E51/E3</f>
        <v>0</v>
      </c>
      <c r="F158" s="138">
        <f>-F51/F3</f>
        <v>0</v>
      </c>
      <c r="G158" s="50">
        <f>-G51/G3</f>
        <v>13.157894736842106</v>
      </c>
      <c r="H158" s="50">
        <f t="shared" ref="H158:AK158" si="451">-H51/H3</f>
        <v>0</v>
      </c>
      <c r="I158" s="50">
        <f t="shared" si="451"/>
        <v>0</v>
      </c>
      <c r="J158" s="50">
        <f t="shared" si="451"/>
        <v>0</v>
      </c>
      <c r="K158" s="50">
        <f t="shared" si="451"/>
        <v>0</v>
      </c>
      <c r="L158" s="50">
        <f t="shared" si="451"/>
        <v>0</v>
      </c>
      <c r="M158" s="50">
        <f t="shared" si="451"/>
        <v>0</v>
      </c>
      <c r="N158" s="50">
        <f t="shared" si="451"/>
        <v>0</v>
      </c>
      <c r="O158" s="50">
        <f t="shared" si="451"/>
        <v>0</v>
      </c>
      <c r="P158" s="50">
        <f t="shared" si="451"/>
        <v>0</v>
      </c>
      <c r="Q158" s="50">
        <f t="shared" si="451"/>
        <v>0</v>
      </c>
      <c r="R158" s="50">
        <f t="shared" si="451"/>
        <v>0</v>
      </c>
      <c r="S158" s="50">
        <f t="shared" si="451"/>
        <v>0</v>
      </c>
      <c r="T158" s="50">
        <f t="shared" si="451"/>
        <v>0</v>
      </c>
      <c r="U158" s="50">
        <f t="shared" si="451"/>
        <v>0</v>
      </c>
      <c r="V158" s="50">
        <f t="shared" si="451"/>
        <v>0</v>
      </c>
      <c r="W158" s="50">
        <f t="shared" si="451"/>
        <v>0</v>
      </c>
      <c r="X158" s="50">
        <f t="shared" si="451"/>
        <v>0</v>
      </c>
      <c r="Y158" s="50">
        <f t="shared" si="451"/>
        <v>0</v>
      </c>
      <c r="Z158" s="50">
        <f t="shared" si="451"/>
        <v>0</v>
      </c>
      <c r="AA158" s="50">
        <f t="shared" si="451"/>
        <v>0</v>
      </c>
      <c r="AB158" s="50">
        <f t="shared" si="451"/>
        <v>0</v>
      </c>
      <c r="AC158" s="50">
        <f t="shared" si="451"/>
        <v>0</v>
      </c>
      <c r="AD158" s="50">
        <f t="shared" si="451"/>
        <v>0</v>
      </c>
      <c r="AE158" s="50">
        <f t="shared" si="451"/>
        <v>0</v>
      </c>
      <c r="AF158" s="50">
        <f t="shared" si="451"/>
        <v>0</v>
      </c>
      <c r="AG158" s="50">
        <f t="shared" si="451"/>
        <v>0</v>
      </c>
      <c r="AH158" s="50">
        <f t="shared" si="451"/>
        <v>0</v>
      </c>
      <c r="AI158" s="50">
        <f t="shared" si="451"/>
        <v>0</v>
      </c>
      <c r="AJ158" s="50">
        <f t="shared" si="451"/>
        <v>0</v>
      </c>
      <c r="AK158" s="50">
        <f t="shared" si="451"/>
        <v>0</v>
      </c>
      <c r="AL158" s="50">
        <f t="shared" ref="AL158:AR158" si="452">-AL51/AL3</f>
        <v>0</v>
      </c>
      <c r="AM158" s="50">
        <f t="shared" si="452"/>
        <v>0</v>
      </c>
      <c r="AN158" s="50">
        <f t="shared" si="452"/>
        <v>0</v>
      </c>
      <c r="AO158" s="50">
        <f t="shared" si="452"/>
        <v>0</v>
      </c>
      <c r="AP158" s="50">
        <f t="shared" si="452"/>
        <v>0</v>
      </c>
      <c r="AQ158" s="50">
        <f t="shared" si="452"/>
        <v>0</v>
      </c>
      <c r="AR158" s="120">
        <f t="shared" si="452"/>
        <v>0</v>
      </c>
    </row>
    <row r="159" spans="1:44" x14ac:dyDescent="0.35">
      <c r="A159" s="122"/>
      <c r="B159" s="11"/>
      <c r="C159" s="54"/>
      <c r="D159" t="s">
        <v>72</v>
      </c>
      <c r="E159" s="138">
        <f>-E124-E115/E3</f>
        <v>0</v>
      </c>
      <c r="F159" s="138">
        <f t="shared" ref="F159:AK159" si="453">-F124-F115/F3</f>
        <v>0</v>
      </c>
      <c r="G159" s="50">
        <f t="shared" si="453"/>
        <v>954.21052631578948</v>
      </c>
      <c r="H159" s="50">
        <f t="shared" si="453"/>
        <v>0</v>
      </c>
      <c r="I159" s="50">
        <f t="shared" si="453"/>
        <v>0</v>
      </c>
      <c r="J159" s="50">
        <f t="shared" si="453"/>
        <v>0</v>
      </c>
      <c r="K159" s="50">
        <f t="shared" si="453"/>
        <v>0</v>
      </c>
      <c r="L159" s="50">
        <f t="shared" si="453"/>
        <v>0</v>
      </c>
      <c r="M159" s="50">
        <f t="shared" si="453"/>
        <v>0</v>
      </c>
      <c r="N159" s="50">
        <f t="shared" si="453"/>
        <v>0</v>
      </c>
      <c r="O159" s="50">
        <f t="shared" si="453"/>
        <v>0</v>
      </c>
      <c r="P159" s="50">
        <f t="shared" si="453"/>
        <v>0</v>
      </c>
      <c r="Q159" s="50">
        <f t="shared" si="453"/>
        <v>0</v>
      </c>
      <c r="R159" s="50">
        <f t="shared" si="453"/>
        <v>0</v>
      </c>
      <c r="S159" s="50">
        <f t="shared" si="453"/>
        <v>0</v>
      </c>
      <c r="T159" s="50">
        <f t="shared" si="453"/>
        <v>0</v>
      </c>
      <c r="U159" s="50">
        <f t="shared" si="453"/>
        <v>0</v>
      </c>
      <c r="V159" s="50">
        <f t="shared" si="453"/>
        <v>0</v>
      </c>
      <c r="W159" s="50">
        <f t="shared" si="453"/>
        <v>0</v>
      </c>
      <c r="X159" s="50">
        <f t="shared" si="453"/>
        <v>0</v>
      </c>
      <c r="Y159" s="50">
        <f t="shared" si="453"/>
        <v>0</v>
      </c>
      <c r="Z159" s="50">
        <f t="shared" si="453"/>
        <v>0</v>
      </c>
      <c r="AA159" s="50">
        <f t="shared" si="453"/>
        <v>0</v>
      </c>
      <c r="AB159" s="50">
        <f t="shared" si="453"/>
        <v>0</v>
      </c>
      <c r="AC159" s="50">
        <f t="shared" si="453"/>
        <v>0</v>
      </c>
      <c r="AD159" s="50">
        <f t="shared" si="453"/>
        <v>0</v>
      </c>
      <c r="AE159" s="50">
        <f t="shared" si="453"/>
        <v>0</v>
      </c>
      <c r="AF159" s="50">
        <f t="shared" si="453"/>
        <v>0</v>
      </c>
      <c r="AG159" s="50">
        <f t="shared" si="453"/>
        <v>0</v>
      </c>
      <c r="AH159" s="50">
        <f t="shared" si="453"/>
        <v>0</v>
      </c>
      <c r="AI159" s="50">
        <f t="shared" si="453"/>
        <v>0</v>
      </c>
      <c r="AJ159" s="50">
        <f t="shared" si="453"/>
        <v>0</v>
      </c>
      <c r="AK159" s="50">
        <f t="shared" si="453"/>
        <v>0</v>
      </c>
      <c r="AL159" s="50">
        <f t="shared" ref="AL159:AR159" si="454">-AL124-AL115/AL3</f>
        <v>0</v>
      </c>
      <c r="AM159" s="50">
        <f t="shared" si="454"/>
        <v>0</v>
      </c>
      <c r="AN159" s="50">
        <f t="shared" si="454"/>
        <v>0</v>
      </c>
      <c r="AO159" s="50">
        <f t="shared" si="454"/>
        <v>0</v>
      </c>
      <c r="AP159" s="50">
        <f t="shared" si="454"/>
        <v>0</v>
      </c>
      <c r="AQ159" s="50">
        <f t="shared" si="454"/>
        <v>0</v>
      </c>
      <c r="AR159" s="120">
        <f t="shared" si="454"/>
        <v>0</v>
      </c>
    </row>
    <row r="160" spans="1:44" x14ac:dyDescent="0.35">
      <c r="A160" s="122"/>
      <c r="B160" s="11"/>
      <c r="C160" s="54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  <c r="AO160" s="46"/>
      <c r="AP160" s="46"/>
      <c r="AQ160" s="46"/>
      <c r="AR160" s="47"/>
    </row>
    <row r="161" spans="1:44" x14ac:dyDescent="0.35">
      <c r="A161" s="122"/>
      <c r="B161" s="11"/>
      <c r="C161" s="54"/>
      <c r="D161" t="s">
        <v>75</v>
      </c>
      <c r="E161" s="138">
        <f t="shared" ref="E161:AK161" si="455">+E24+E43*E4+E35*E4</f>
        <v>0</v>
      </c>
      <c r="F161" s="138">
        <f t="shared" si="455"/>
        <v>0</v>
      </c>
      <c r="G161" s="50">
        <f t="shared" si="455"/>
        <v>0</v>
      </c>
      <c r="H161" s="50">
        <f t="shared" si="455"/>
        <v>0</v>
      </c>
      <c r="I161" s="50">
        <f t="shared" si="455"/>
        <v>200</v>
      </c>
      <c r="J161" s="50">
        <f t="shared" si="455"/>
        <v>0</v>
      </c>
      <c r="K161" s="50">
        <f t="shared" si="455"/>
        <v>165</v>
      </c>
      <c r="L161" s="50">
        <f t="shared" si="455"/>
        <v>165</v>
      </c>
      <c r="M161" s="50">
        <f t="shared" si="455"/>
        <v>165</v>
      </c>
      <c r="N161" s="50">
        <f t="shared" si="455"/>
        <v>165</v>
      </c>
      <c r="O161" s="50">
        <f t="shared" si="455"/>
        <v>304.06100053881448</v>
      </c>
      <c r="P161" s="50">
        <f t="shared" si="455"/>
        <v>110.00000000000001</v>
      </c>
      <c r="Q161" s="50">
        <f t="shared" si="455"/>
        <v>110.00000000000001</v>
      </c>
      <c r="R161" s="50">
        <f t="shared" si="455"/>
        <v>110.00000000000001</v>
      </c>
      <c r="S161" s="50">
        <f t="shared" si="455"/>
        <v>110.00000000000001</v>
      </c>
      <c r="T161" s="50">
        <f t="shared" si="455"/>
        <v>110.00000000000001</v>
      </c>
      <c r="U161" s="50">
        <f t="shared" si="455"/>
        <v>172.15799349555806</v>
      </c>
      <c r="V161" s="50">
        <f t="shared" si="455"/>
        <v>0</v>
      </c>
      <c r="W161" s="50">
        <f t="shared" si="455"/>
        <v>0</v>
      </c>
      <c r="X161" s="50">
        <f t="shared" si="455"/>
        <v>0</v>
      </c>
      <c r="Y161" s="50">
        <f t="shared" si="455"/>
        <v>0</v>
      </c>
      <c r="Z161" s="50">
        <f t="shared" si="455"/>
        <v>0</v>
      </c>
      <c r="AA161" s="50">
        <f t="shared" si="455"/>
        <v>0</v>
      </c>
      <c r="AB161" s="50">
        <f t="shared" si="455"/>
        <v>0</v>
      </c>
      <c r="AC161" s="50">
        <f t="shared" si="455"/>
        <v>0</v>
      </c>
      <c r="AD161" s="50">
        <f t="shared" si="455"/>
        <v>0</v>
      </c>
      <c r="AE161" s="50">
        <f t="shared" si="455"/>
        <v>0</v>
      </c>
      <c r="AF161" s="50">
        <f t="shared" si="455"/>
        <v>0</v>
      </c>
      <c r="AG161" s="50">
        <f t="shared" si="455"/>
        <v>0</v>
      </c>
      <c r="AH161" s="50">
        <f t="shared" si="455"/>
        <v>0</v>
      </c>
      <c r="AI161" s="50">
        <f t="shared" si="455"/>
        <v>0</v>
      </c>
      <c r="AJ161" s="50">
        <f t="shared" si="455"/>
        <v>0</v>
      </c>
      <c r="AK161" s="50">
        <f t="shared" si="455"/>
        <v>500</v>
      </c>
      <c r="AL161" s="50">
        <f t="shared" ref="AL161:AR161" si="456">+AL24+AL43*AL4+AL35*AL4</f>
        <v>0</v>
      </c>
      <c r="AM161" s="50">
        <f t="shared" si="456"/>
        <v>0</v>
      </c>
      <c r="AN161" s="50">
        <f t="shared" si="456"/>
        <v>400</v>
      </c>
      <c r="AO161" s="50">
        <f t="shared" si="456"/>
        <v>0</v>
      </c>
      <c r="AP161" s="50">
        <f t="shared" si="456"/>
        <v>1862.295977109407</v>
      </c>
      <c r="AQ161" s="50">
        <f t="shared" si="456"/>
        <v>0</v>
      </c>
      <c r="AR161" s="120">
        <f t="shared" si="456"/>
        <v>0</v>
      </c>
    </row>
    <row r="162" spans="1:44" x14ac:dyDescent="0.35">
      <c r="A162" s="122"/>
      <c r="B162" s="11"/>
      <c r="C162" s="54"/>
      <c r="D162" t="s">
        <v>18</v>
      </c>
      <c r="E162" s="138">
        <f t="shared" ref="E162:AK162" si="457">+E62/E3</f>
        <v>0</v>
      </c>
      <c r="F162" s="138">
        <f t="shared" si="457"/>
        <v>0</v>
      </c>
      <c r="G162" s="50">
        <f t="shared" si="457"/>
        <v>0</v>
      </c>
      <c r="H162" s="50">
        <f t="shared" si="457"/>
        <v>0</v>
      </c>
      <c r="I162" s="50">
        <f t="shared" si="457"/>
        <v>0</v>
      </c>
      <c r="J162" s="50">
        <f t="shared" si="457"/>
        <v>0</v>
      </c>
      <c r="K162" s="50">
        <f t="shared" si="457"/>
        <v>0</v>
      </c>
      <c r="L162" s="50">
        <f t="shared" si="457"/>
        <v>0</v>
      </c>
      <c r="M162" s="50">
        <f t="shared" si="457"/>
        <v>0</v>
      </c>
      <c r="N162" s="50">
        <f t="shared" si="457"/>
        <v>0</v>
      </c>
      <c r="O162" s="50">
        <f t="shared" si="457"/>
        <v>0</v>
      </c>
      <c r="P162" s="50">
        <f t="shared" si="457"/>
        <v>0</v>
      </c>
      <c r="Q162" s="50">
        <f t="shared" si="457"/>
        <v>0</v>
      </c>
      <c r="R162" s="50">
        <f t="shared" si="457"/>
        <v>6536.1005723195476</v>
      </c>
      <c r="S162" s="50">
        <f t="shared" si="457"/>
        <v>0</v>
      </c>
      <c r="T162" s="50">
        <f t="shared" si="457"/>
        <v>0</v>
      </c>
      <c r="U162" s="50">
        <f t="shared" si="457"/>
        <v>0</v>
      </c>
      <c r="V162" s="50">
        <f t="shared" si="457"/>
        <v>0</v>
      </c>
      <c r="W162" s="50">
        <f t="shared" si="457"/>
        <v>0</v>
      </c>
      <c r="X162" s="50">
        <f t="shared" si="457"/>
        <v>0</v>
      </c>
      <c r="Y162" s="50">
        <f t="shared" si="457"/>
        <v>0</v>
      </c>
      <c r="Z162" s="50">
        <f t="shared" si="457"/>
        <v>0</v>
      </c>
      <c r="AA162" s="50">
        <f t="shared" si="457"/>
        <v>0</v>
      </c>
      <c r="AB162" s="50">
        <f t="shared" si="457"/>
        <v>0</v>
      </c>
      <c r="AC162" s="50">
        <f t="shared" si="457"/>
        <v>0</v>
      </c>
      <c r="AD162" s="50">
        <f t="shared" si="457"/>
        <v>0</v>
      </c>
      <c r="AE162" s="50">
        <f t="shared" si="457"/>
        <v>0</v>
      </c>
      <c r="AF162" s="50">
        <f t="shared" si="457"/>
        <v>0</v>
      </c>
      <c r="AG162" s="50">
        <f t="shared" si="457"/>
        <v>0</v>
      </c>
      <c r="AH162" s="50">
        <f t="shared" si="457"/>
        <v>0</v>
      </c>
      <c r="AI162" s="50">
        <f t="shared" si="457"/>
        <v>0</v>
      </c>
      <c r="AJ162" s="50">
        <f t="shared" si="457"/>
        <v>0</v>
      </c>
      <c r="AK162" s="50">
        <f t="shared" si="457"/>
        <v>0</v>
      </c>
      <c r="AL162" s="50">
        <f t="shared" ref="AL162:AR162" si="458">+AL62/AL3</f>
        <v>0</v>
      </c>
      <c r="AM162" s="50">
        <f t="shared" si="458"/>
        <v>0</v>
      </c>
      <c r="AN162" s="50">
        <f t="shared" si="458"/>
        <v>0</v>
      </c>
      <c r="AO162" s="50">
        <f t="shared" si="458"/>
        <v>0</v>
      </c>
      <c r="AP162" s="50">
        <f t="shared" si="458"/>
        <v>0</v>
      </c>
      <c r="AQ162" s="50">
        <f t="shared" si="458"/>
        <v>0</v>
      </c>
      <c r="AR162" s="120">
        <f t="shared" si="458"/>
        <v>0</v>
      </c>
    </row>
    <row r="163" spans="1:44" x14ac:dyDescent="0.35">
      <c r="A163" s="122"/>
      <c r="B163" s="11"/>
      <c r="C163" s="54"/>
      <c r="D163" t="s">
        <v>97</v>
      </c>
      <c r="E163" s="138">
        <f>+E52/E3</f>
        <v>0</v>
      </c>
      <c r="F163" s="138">
        <f t="shared" ref="F163:AK163" si="459">+F52/F3</f>
        <v>0</v>
      </c>
      <c r="G163" s="50">
        <f t="shared" si="459"/>
        <v>0</v>
      </c>
      <c r="H163" s="50">
        <f t="shared" si="459"/>
        <v>0</v>
      </c>
      <c r="I163" s="50">
        <f t="shared" si="459"/>
        <v>0</v>
      </c>
      <c r="J163" s="50">
        <f t="shared" si="459"/>
        <v>0</v>
      </c>
      <c r="K163" s="50">
        <f t="shared" si="459"/>
        <v>0</v>
      </c>
      <c r="L163" s="50">
        <f t="shared" si="459"/>
        <v>0</v>
      </c>
      <c r="M163" s="50">
        <f t="shared" si="459"/>
        <v>13.902653868749997</v>
      </c>
      <c r="N163" s="50">
        <f t="shared" si="459"/>
        <v>0</v>
      </c>
      <c r="O163" s="50">
        <f t="shared" si="459"/>
        <v>0</v>
      </c>
      <c r="P163" s="50">
        <f t="shared" si="459"/>
        <v>0</v>
      </c>
      <c r="Q163" s="50">
        <f t="shared" si="459"/>
        <v>0</v>
      </c>
      <c r="R163" s="50">
        <f t="shared" si="459"/>
        <v>0</v>
      </c>
      <c r="S163" s="50">
        <f t="shared" si="459"/>
        <v>0</v>
      </c>
      <c r="T163" s="50">
        <f t="shared" si="459"/>
        <v>0</v>
      </c>
      <c r="U163" s="50">
        <f t="shared" si="459"/>
        <v>0</v>
      </c>
      <c r="V163" s="50">
        <f t="shared" si="459"/>
        <v>0</v>
      </c>
      <c r="W163" s="50">
        <f t="shared" si="459"/>
        <v>0</v>
      </c>
      <c r="X163" s="50">
        <f t="shared" si="459"/>
        <v>0</v>
      </c>
      <c r="Y163" s="50">
        <f t="shared" si="459"/>
        <v>0</v>
      </c>
      <c r="Z163" s="50">
        <f t="shared" si="459"/>
        <v>0</v>
      </c>
      <c r="AA163" s="50">
        <f t="shared" si="459"/>
        <v>0</v>
      </c>
      <c r="AB163" s="50">
        <f t="shared" si="459"/>
        <v>0</v>
      </c>
      <c r="AC163" s="50">
        <f t="shared" si="459"/>
        <v>0</v>
      </c>
      <c r="AD163" s="50">
        <f t="shared" si="459"/>
        <v>0</v>
      </c>
      <c r="AE163" s="50">
        <f t="shared" si="459"/>
        <v>0</v>
      </c>
      <c r="AF163" s="50">
        <f t="shared" si="459"/>
        <v>0</v>
      </c>
      <c r="AG163" s="50">
        <f t="shared" si="459"/>
        <v>0</v>
      </c>
      <c r="AH163" s="50">
        <f t="shared" si="459"/>
        <v>0</v>
      </c>
      <c r="AI163" s="50">
        <f t="shared" si="459"/>
        <v>0</v>
      </c>
      <c r="AJ163" s="50">
        <f t="shared" si="459"/>
        <v>0</v>
      </c>
      <c r="AK163" s="50">
        <f t="shared" si="459"/>
        <v>0</v>
      </c>
      <c r="AL163" s="50">
        <f t="shared" ref="AL163:AR163" si="460">+AL52/AL3</f>
        <v>0</v>
      </c>
      <c r="AM163" s="50">
        <f t="shared" si="460"/>
        <v>0</v>
      </c>
      <c r="AN163" s="50">
        <f t="shared" si="460"/>
        <v>0</v>
      </c>
      <c r="AO163" s="50">
        <f t="shared" si="460"/>
        <v>0</v>
      </c>
      <c r="AP163" s="50">
        <f t="shared" si="460"/>
        <v>0</v>
      </c>
      <c r="AQ163" s="50">
        <f t="shared" si="460"/>
        <v>0</v>
      </c>
      <c r="AR163" s="120">
        <f t="shared" si="460"/>
        <v>0</v>
      </c>
    </row>
    <row r="164" spans="1:44" x14ac:dyDescent="0.35">
      <c r="A164" s="122"/>
      <c r="B164" s="11"/>
      <c r="C164" s="54"/>
      <c r="D164" t="s">
        <v>88</v>
      </c>
      <c r="E164" s="138">
        <f>+E72*E4+E81*E4+E89*E4+E98+E106+E125+E133/E3+E141/E3+E116/E3</f>
        <v>0</v>
      </c>
      <c r="F164" s="138">
        <f t="shared" ref="F164:AK164" si="461">+F72*F4+F81*F4+F89*F4+F98+F106+F125+F133/F3+F141/F3+F116/F3</f>
        <v>0</v>
      </c>
      <c r="G164" s="50">
        <f t="shared" si="461"/>
        <v>0</v>
      </c>
      <c r="H164" s="50">
        <f t="shared" si="461"/>
        <v>864.86400000000003</v>
      </c>
      <c r="I164" s="50">
        <f t="shared" si="461"/>
        <v>0</v>
      </c>
      <c r="J164" s="50">
        <f t="shared" si="461"/>
        <v>433.269837</v>
      </c>
      <c r="K164" s="50">
        <f t="shared" si="461"/>
        <v>0</v>
      </c>
      <c r="L164" s="50">
        <f t="shared" si="461"/>
        <v>647.84250361349984</v>
      </c>
      <c r="M164" s="50">
        <f t="shared" si="461"/>
        <v>0</v>
      </c>
      <c r="N164" s="50">
        <f t="shared" si="461"/>
        <v>0</v>
      </c>
      <c r="O164" s="50">
        <f t="shared" si="461"/>
        <v>0</v>
      </c>
      <c r="P164" s="50">
        <f t="shared" si="461"/>
        <v>0</v>
      </c>
      <c r="Q164" s="50">
        <f t="shared" si="461"/>
        <v>1457.5504907648481</v>
      </c>
      <c r="R164" s="50">
        <f t="shared" si="461"/>
        <v>0</v>
      </c>
      <c r="S164" s="50">
        <f t="shared" si="461"/>
        <v>0</v>
      </c>
      <c r="T164" s="50">
        <f t="shared" si="461"/>
        <v>0</v>
      </c>
      <c r="U164" s="50">
        <f t="shared" si="461"/>
        <v>0</v>
      </c>
      <c r="V164" s="50">
        <f t="shared" si="461"/>
        <v>110.46210703205652</v>
      </c>
      <c r="W164" s="50">
        <f t="shared" si="461"/>
        <v>0</v>
      </c>
      <c r="X164" s="50">
        <f t="shared" si="461"/>
        <v>0</v>
      </c>
      <c r="Y164" s="50">
        <f t="shared" si="461"/>
        <v>0</v>
      </c>
      <c r="Z164" s="50">
        <f t="shared" si="461"/>
        <v>1366.4884241469733</v>
      </c>
      <c r="AA164" s="50">
        <f t="shared" si="461"/>
        <v>0</v>
      </c>
      <c r="AB164" s="50">
        <f t="shared" si="461"/>
        <v>0</v>
      </c>
      <c r="AC164" s="50">
        <f t="shared" si="461"/>
        <v>0</v>
      </c>
      <c r="AD164" s="50">
        <f t="shared" si="461"/>
        <v>0</v>
      </c>
      <c r="AE164" s="50">
        <f t="shared" si="461"/>
        <v>0</v>
      </c>
      <c r="AF164" s="50">
        <f t="shared" si="461"/>
        <v>0</v>
      </c>
      <c r="AG164" s="50">
        <f t="shared" si="461"/>
        <v>0</v>
      </c>
      <c r="AH164" s="50">
        <f t="shared" si="461"/>
        <v>1470.9729389617005</v>
      </c>
      <c r="AI164" s="50">
        <f t="shared" si="461"/>
        <v>0</v>
      </c>
      <c r="AJ164" s="50">
        <f t="shared" si="461"/>
        <v>0</v>
      </c>
      <c r="AK164" s="50">
        <f t="shared" si="461"/>
        <v>0</v>
      </c>
      <c r="AL164" s="50">
        <f t="shared" ref="AL164:AR164" si="462">+AL72*AL4+AL81*AL4+AL89*AL4+AL98+AL106+AL125+AL133/AL3+AL141/AL3+AL116/AL3</f>
        <v>0</v>
      </c>
      <c r="AM164" s="50">
        <f t="shared" si="462"/>
        <v>0</v>
      </c>
      <c r="AN164" s="50">
        <f t="shared" si="462"/>
        <v>1861.1962257248254</v>
      </c>
      <c r="AO164" s="50">
        <f t="shared" si="462"/>
        <v>0</v>
      </c>
      <c r="AP164" s="50">
        <f t="shared" si="462"/>
        <v>0</v>
      </c>
      <c r="AQ164" s="50">
        <f t="shared" si="462"/>
        <v>0</v>
      </c>
      <c r="AR164" s="120">
        <f t="shared" si="462"/>
        <v>0</v>
      </c>
    </row>
    <row r="165" spans="1:44" x14ac:dyDescent="0.35">
      <c r="A165" s="122"/>
      <c r="B165" s="11"/>
      <c r="C165" s="54"/>
      <c r="E165" s="46"/>
      <c r="AR165" s="64"/>
    </row>
    <row r="166" spans="1:44" x14ac:dyDescent="0.35">
      <c r="A166" s="122"/>
      <c r="C166" s="54"/>
      <c r="D166" t="s">
        <v>93</v>
      </c>
      <c r="E166" s="138">
        <f>+E150+E151</f>
        <v>0</v>
      </c>
      <c r="F166" s="138">
        <f t="shared" ref="F166:AK166" si="463">+F150+F151</f>
        <v>36</v>
      </c>
      <c r="G166" s="50">
        <f t="shared" si="463"/>
        <v>45</v>
      </c>
      <c r="H166" s="50">
        <f t="shared" si="463"/>
        <v>0</v>
      </c>
      <c r="I166" s="50">
        <f t="shared" si="463"/>
        <v>0</v>
      </c>
      <c r="J166" s="50">
        <f t="shared" si="463"/>
        <v>0</v>
      </c>
      <c r="K166" s="50">
        <f t="shared" si="463"/>
        <v>0</v>
      </c>
      <c r="L166" s="50">
        <f t="shared" si="463"/>
        <v>0</v>
      </c>
      <c r="M166" s="50">
        <f t="shared" si="463"/>
        <v>0</v>
      </c>
      <c r="N166" s="50">
        <f t="shared" si="463"/>
        <v>0</v>
      </c>
      <c r="O166" s="50">
        <f t="shared" si="463"/>
        <v>0</v>
      </c>
      <c r="P166" s="50">
        <f t="shared" si="463"/>
        <v>0</v>
      </c>
      <c r="Q166" s="50">
        <f t="shared" si="463"/>
        <v>0</v>
      </c>
      <c r="R166" s="50">
        <f t="shared" si="463"/>
        <v>0</v>
      </c>
      <c r="S166" s="50">
        <f t="shared" si="463"/>
        <v>0</v>
      </c>
      <c r="T166" s="50">
        <f t="shared" si="463"/>
        <v>0</v>
      </c>
      <c r="U166" s="50">
        <f t="shared" si="463"/>
        <v>0</v>
      </c>
      <c r="V166" s="50">
        <f t="shared" si="463"/>
        <v>0</v>
      </c>
      <c r="W166" s="50">
        <f t="shared" si="463"/>
        <v>0</v>
      </c>
      <c r="X166" s="50">
        <f t="shared" si="463"/>
        <v>0</v>
      </c>
      <c r="Y166" s="50">
        <f t="shared" si="463"/>
        <v>0</v>
      </c>
      <c r="Z166" s="50">
        <f t="shared" si="463"/>
        <v>0</v>
      </c>
      <c r="AA166" s="50">
        <f t="shared" si="463"/>
        <v>0</v>
      </c>
      <c r="AB166" s="50">
        <f t="shared" si="463"/>
        <v>0</v>
      </c>
      <c r="AC166" s="50">
        <f t="shared" si="463"/>
        <v>0</v>
      </c>
      <c r="AD166" s="50">
        <f t="shared" si="463"/>
        <v>0</v>
      </c>
      <c r="AE166" s="50">
        <f t="shared" si="463"/>
        <v>0</v>
      </c>
      <c r="AF166" s="50">
        <f t="shared" si="463"/>
        <v>0</v>
      </c>
      <c r="AG166" s="50">
        <f t="shared" si="463"/>
        <v>0</v>
      </c>
      <c r="AH166" s="50">
        <f t="shared" si="463"/>
        <v>0</v>
      </c>
      <c r="AI166" s="50">
        <f t="shared" si="463"/>
        <v>0</v>
      </c>
      <c r="AJ166" s="50">
        <f t="shared" si="463"/>
        <v>0</v>
      </c>
      <c r="AK166" s="50">
        <f t="shared" si="463"/>
        <v>0</v>
      </c>
      <c r="AL166" s="50">
        <f t="shared" ref="AL166:AR166" si="464">+AL150+AL151</f>
        <v>0</v>
      </c>
      <c r="AM166" s="50">
        <f t="shared" si="464"/>
        <v>0</v>
      </c>
      <c r="AN166" s="50">
        <f t="shared" si="464"/>
        <v>0</v>
      </c>
      <c r="AO166" s="50">
        <f t="shared" si="464"/>
        <v>0</v>
      </c>
      <c r="AP166" s="50">
        <f t="shared" si="464"/>
        <v>0</v>
      </c>
      <c r="AQ166" s="50">
        <f t="shared" si="464"/>
        <v>0</v>
      </c>
      <c r="AR166" s="120">
        <f t="shared" si="464"/>
        <v>0</v>
      </c>
    </row>
    <row r="167" spans="1:44" x14ac:dyDescent="0.35">
      <c r="A167" s="123"/>
      <c r="C167" s="55"/>
      <c r="D167" s="67"/>
      <c r="E167" s="5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8"/>
    </row>
    <row r="168" spans="1:44" x14ac:dyDescent="0.35">
      <c r="E168" s="46"/>
    </row>
    <row r="169" spans="1:44" x14ac:dyDescent="0.35">
      <c r="E169" s="46">
        <f>+E144/E3+E136/E3+E128+E109+E101+E92*E4+E84*E4+E75*E4</f>
        <v>53.966666666666661</v>
      </c>
    </row>
    <row r="170" spans="1:44" x14ac:dyDescent="0.35">
      <c r="B170" t="s">
        <v>66</v>
      </c>
    </row>
    <row r="171" spans="1:44" x14ac:dyDescent="0.35">
      <c r="B171" s="118"/>
      <c r="C171" s="16" t="s">
        <v>61</v>
      </c>
      <c r="E171" s="147">
        <v>6.0872600000000006</v>
      </c>
      <c r="F171" s="148">
        <f>+F152+2</f>
        <v>6.032</v>
      </c>
      <c r="G171" s="124">
        <f t="shared" ref="G171:AK171" si="465">+G152+2</f>
        <v>3.2600000000000002</v>
      </c>
      <c r="H171" s="124">
        <f t="shared" si="465"/>
        <v>2</v>
      </c>
      <c r="I171" s="124">
        <f t="shared" si="465"/>
        <v>2</v>
      </c>
      <c r="J171" s="124">
        <f t="shared" si="465"/>
        <v>2</v>
      </c>
      <c r="K171" s="124">
        <f t="shared" si="465"/>
        <v>2</v>
      </c>
      <c r="L171" s="124">
        <f t="shared" si="465"/>
        <v>2</v>
      </c>
      <c r="M171" s="124">
        <f t="shared" si="465"/>
        <v>2</v>
      </c>
      <c r="N171" s="124">
        <f t="shared" si="465"/>
        <v>2</v>
      </c>
      <c r="O171" s="124">
        <f t="shared" si="465"/>
        <v>2</v>
      </c>
      <c r="P171" s="124">
        <f t="shared" si="465"/>
        <v>2</v>
      </c>
      <c r="Q171" s="124">
        <f t="shared" si="465"/>
        <v>2</v>
      </c>
      <c r="R171" s="124">
        <f t="shared" si="465"/>
        <v>2</v>
      </c>
      <c r="S171" s="124">
        <f t="shared" si="465"/>
        <v>2</v>
      </c>
      <c r="T171" s="124">
        <f t="shared" si="465"/>
        <v>2</v>
      </c>
      <c r="U171" s="124">
        <f t="shared" si="465"/>
        <v>2</v>
      </c>
      <c r="V171" s="124">
        <f t="shared" si="465"/>
        <v>2</v>
      </c>
      <c r="W171" s="124">
        <f t="shared" si="465"/>
        <v>2</v>
      </c>
      <c r="X171" s="124">
        <f t="shared" si="465"/>
        <v>2</v>
      </c>
      <c r="Y171" s="124">
        <f t="shared" si="465"/>
        <v>2</v>
      </c>
      <c r="Z171" s="124">
        <f t="shared" si="465"/>
        <v>2</v>
      </c>
      <c r="AA171" s="124">
        <f t="shared" si="465"/>
        <v>2</v>
      </c>
      <c r="AB171" s="124">
        <f t="shared" si="465"/>
        <v>2</v>
      </c>
      <c r="AC171" s="124">
        <f t="shared" si="465"/>
        <v>2</v>
      </c>
      <c r="AD171" s="124">
        <f t="shared" si="465"/>
        <v>2</v>
      </c>
      <c r="AE171" s="124">
        <f t="shared" si="465"/>
        <v>2</v>
      </c>
      <c r="AF171" s="124">
        <f t="shared" si="465"/>
        <v>2</v>
      </c>
      <c r="AG171" s="124">
        <f t="shared" si="465"/>
        <v>2</v>
      </c>
      <c r="AH171" s="124">
        <f t="shared" si="465"/>
        <v>2</v>
      </c>
      <c r="AI171" s="124">
        <f t="shared" si="465"/>
        <v>2</v>
      </c>
      <c r="AJ171" s="124">
        <f t="shared" si="465"/>
        <v>2</v>
      </c>
      <c r="AK171" s="124">
        <f t="shared" si="465"/>
        <v>2</v>
      </c>
      <c r="AL171" s="124">
        <f t="shared" ref="AL171:AR171" si="466">+AL152+2</f>
        <v>2</v>
      </c>
      <c r="AM171" s="124">
        <f t="shared" si="466"/>
        <v>2</v>
      </c>
      <c r="AN171" s="124">
        <f t="shared" si="466"/>
        <v>2</v>
      </c>
      <c r="AO171" s="124">
        <f t="shared" si="466"/>
        <v>2</v>
      </c>
      <c r="AP171" s="124">
        <f t="shared" si="466"/>
        <v>2</v>
      </c>
      <c r="AQ171" s="124">
        <f t="shared" si="466"/>
        <v>2</v>
      </c>
      <c r="AR171" s="124">
        <f t="shared" si="466"/>
        <v>2</v>
      </c>
    </row>
    <row r="172" spans="1:44" x14ac:dyDescent="0.35">
      <c r="B172" s="91"/>
      <c r="C172" s="16" t="s">
        <v>62</v>
      </c>
      <c r="E172" s="149">
        <f t="shared" ref="E172:AK172" si="467">+E144/E3+E136/E3+E128+E109+E101+E92*E4+E84*E4+E75*E4</f>
        <v>53.966666666666661</v>
      </c>
      <c r="F172" s="148">
        <f t="shared" si="467"/>
        <v>59.737333333333339</v>
      </c>
      <c r="G172" s="124">
        <f t="shared" si="467"/>
        <v>64.32732</v>
      </c>
      <c r="H172" s="124">
        <f t="shared" si="467"/>
        <v>59.517209249999986</v>
      </c>
      <c r="I172" s="124">
        <f t="shared" si="467"/>
        <v>55.892554768124988</v>
      </c>
      <c r="J172" s="124">
        <f t="shared" si="467"/>
        <v>54.478872101587491</v>
      </c>
      <c r="K172" s="124">
        <f t="shared" si="467"/>
        <v>52.98628510648124</v>
      </c>
      <c r="L172" s="124">
        <f t="shared" si="467"/>
        <v>54.046010808610866</v>
      </c>
      <c r="M172" s="124">
        <f t="shared" si="467"/>
        <v>55.12693102478309</v>
      </c>
      <c r="N172" s="124">
        <f t="shared" si="467"/>
        <v>56.229469645278755</v>
      </c>
      <c r="O172" s="124">
        <f t="shared" si="467"/>
        <v>57.354059038184332</v>
      </c>
      <c r="P172" s="124">
        <f t="shared" si="467"/>
        <v>58.501140218948009</v>
      </c>
      <c r="Q172" s="124">
        <f t="shared" si="467"/>
        <v>59.671163023326976</v>
      </c>
      <c r="R172" s="124">
        <f t="shared" si="467"/>
        <v>60.864586283793514</v>
      </c>
      <c r="S172" s="124">
        <f t="shared" si="467"/>
        <v>62.081878009469385</v>
      </c>
      <c r="T172" s="124">
        <f t="shared" si="467"/>
        <v>63.323515569658774</v>
      </c>
      <c r="U172" s="124">
        <f t="shared" si="467"/>
        <v>64.589985881051945</v>
      </c>
      <c r="V172" s="124">
        <f t="shared" si="467"/>
        <v>65.881785598672991</v>
      </c>
      <c r="W172" s="124">
        <f t="shared" si="467"/>
        <v>67.199421310646457</v>
      </c>
      <c r="X172" s="124">
        <f t="shared" si="467"/>
        <v>68.543409736859388</v>
      </c>
      <c r="Y172" s="124">
        <f t="shared" si="467"/>
        <v>69.914277931596573</v>
      </c>
      <c r="Z172" s="124">
        <f t="shared" si="467"/>
        <v>47.921435103657274</v>
      </c>
      <c r="AA172" s="124">
        <f t="shared" si="467"/>
        <v>25.02091285142777</v>
      </c>
      <c r="AB172" s="124">
        <f t="shared" si="467"/>
        <v>25.521331108456327</v>
      </c>
      <c r="AC172" s="124">
        <f t="shared" si="467"/>
        <v>26.031757730625454</v>
      </c>
      <c r="AD172" s="124">
        <f t="shared" si="467"/>
        <v>26.552392885237964</v>
      </c>
      <c r="AE172" s="124">
        <f t="shared" si="467"/>
        <v>27.083440742942724</v>
      </c>
      <c r="AF172" s="124">
        <f t="shared" si="467"/>
        <v>27.625109557801579</v>
      </c>
      <c r="AG172" s="124">
        <f t="shared" si="467"/>
        <v>28.177611748957613</v>
      </c>
      <c r="AH172" s="124">
        <f t="shared" si="467"/>
        <v>14.370581991968383</v>
      </c>
      <c r="AI172" s="124">
        <f t="shared" si="467"/>
        <v>0</v>
      </c>
      <c r="AJ172" s="124">
        <f t="shared" si="467"/>
        <v>0</v>
      </c>
      <c r="AK172" s="124">
        <f t="shared" si="467"/>
        <v>0</v>
      </c>
      <c r="AL172" s="124">
        <f t="shared" ref="AL172:AR172" si="468">+AL144/AL3+AL136/AL3+AL128+AL109+AL101+AL92*AL4+AL84*AL4+AL75*AL4</f>
        <v>0</v>
      </c>
      <c r="AM172" s="124">
        <f t="shared" si="468"/>
        <v>0</v>
      </c>
      <c r="AN172" s="124">
        <f t="shared" si="468"/>
        <v>0</v>
      </c>
      <c r="AO172" s="124">
        <f t="shared" si="468"/>
        <v>0</v>
      </c>
      <c r="AP172" s="124">
        <f t="shared" si="468"/>
        <v>0</v>
      </c>
      <c r="AQ172" s="124">
        <f t="shared" si="468"/>
        <v>0</v>
      </c>
      <c r="AR172" s="124">
        <f t="shared" si="468"/>
        <v>0</v>
      </c>
    </row>
    <row r="173" spans="1:44" x14ac:dyDescent="0.35">
      <c r="B173" s="126"/>
      <c r="C173" s="16" t="s">
        <v>94</v>
      </c>
      <c r="E173" s="149">
        <v>5</v>
      </c>
      <c r="F173" s="148">
        <f t="shared" ref="F173:AR173" si="469">+E173*(1+F6)</f>
        <v>5.2</v>
      </c>
      <c r="G173" s="124">
        <f t="shared" si="469"/>
        <v>5.3819999999999997</v>
      </c>
      <c r="H173" s="124">
        <f t="shared" si="469"/>
        <v>5.5165499999999996</v>
      </c>
      <c r="I173" s="124">
        <f t="shared" si="469"/>
        <v>5.6406723749999994</v>
      </c>
      <c r="J173" s="124">
        <f t="shared" si="469"/>
        <v>5.7534858224999992</v>
      </c>
      <c r="K173" s="124">
        <f t="shared" si="469"/>
        <v>5.868555538949999</v>
      </c>
      <c r="L173" s="124">
        <f t="shared" si="469"/>
        <v>5.9859266497289987</v>
      </c>
      <c r="M173" s="124">
        <f t="shared" si="469"/>
        <v>6.1056451827235785</v>
      </c>
      <c r="N173" s="124">
        <f t="shared" si="469"/>
        <v>6.2277580863780502</v>
      </c>
      <c r="O173" s="124">
        <f t="shared" si="469"/>
        <v>6.3523132481056113</v>
      </c>
      <c r="P173" s="124">
        <f t="shared" si="469"/>
        <v>6.479359513067724</v>
      </c>
      <c r="Q173" s="124">
        <f t="shared" si="469"/>
        <v>6.608946703329079</v>
      </c>
      <c r="R173" s="124">
        <f t="shared" si="469"/>
        <v>6.741125637395661</v>
      </c>
      <c r="S173" s="124">
        <f t="shared" si="469"/>
        <v>6.8759481501435742</v>
      </c>
      <c r="T173" s="124">
        <f t="shared" si="469"/>
        <v>7.0134671131464454</v>
      </c>
      <c r="U173" s="124">
        <f t="shared" si="469"/>
        <v>7.1537364554093745</v>
      </c>
      <c r="V173" s="124">
        <f t="shared" si="469"/>
        <v>7.2968111845175621</v>
      </c>
      <c r="W173" s="124">
        <f t="shared" si="469"/>
        <v>7.4427474082079135</v>
      </c>
      <c r="X173" s="124">
        <f t="shared" si="469"/>
        <v>7.5916023563720723</v>
      </c>
      <c r="Y173" s="124">
        <f t="shared" si="469"/>
        <v>7.7434344034995135</v>
      </c>
      <c r="Z173" s="124">
        <f t="shared" si="469"/>
        <v>7.8983030915695043</v>
      </c>
      <c r="AA173" s="124">
        <f t="shared" si="469"/>
        <v>8.0562691534008941</v>
      </c>
      <c r="AB173" s="124">
        <f t="shared" si="469"/>
        <v>8.2173945364689125</v>
      </c>
      <c r="AC173" s="124">
        <f t="shared" si="469"/>
        <v>8.3817424271982901</v>
      </c>
      <c r="AD173" s="124">
        <f t="shared" si="469"/>
        <v>8.5493772757422555</v>
      </c>
      <c r="AE173" s="124">
        <f t="shared" si="469"/>
        <v>8.7203648212571014</v>
      </c>
      <c r="AF173" s="124">
        <f t="shared" si="469"/>
        <v>8.8947721176822441</v>
      </c>
      <c r="AG173" s="124">
        <f t="shared" si="469"/>
        <v>9.0726675600358888</v>
      </c>
      <c r="AH173" s="124">
        <f t="shared" si="469"/>
        <v>9.2541209112366065</v>
      </c>
      <c r="AI173" s="124">
        <f t="shared" si="469"/>
        <v>9.4392033294613391</v>
      </c>
      <c r="AJ173" s="124">
        <f t="shared" si="469"/>
        <v>9.6279873960505657</v>
      </c>
      <c r="AK173" s="124">
        <f t="shared" si="469"/>
        <v>9.8205471439715772</v>
      </c>
      <c r="AL173" s="124">
        <f t="shared" si="469"/>
        <v>10.016958086851009</v>
      </c>
      <c r="AM173" s="124">
        <f t="shared" si="469"/>
        <v>10.217297248588029</v>
      </c>
      <c r="AN173" s="124">
        <f t="shared" si="469"/>
        <v>10.42164319355979</v>
      </c>
      <c r="AO173" s="124">
        <f t="shared" si="469"/>
        <v>10.630076057430985</v>
      </c>
      <c r="AP173" s="124">
        <f t="shared" si="469"/>
        <v>10.842677578579606</v>
      </c>
      <c r="AQ173" s="124">
        <f t="shared" si="469"/>
        <v>11.059531130151198</v>
      </c>
      <c r="AR173" s="124">
        <f t="shared" si="469"/>
        <v>11.280721752754221</v>
      </c>
    </row>
    <row r="174" spans="1:44" x14ac:dyDescent="0.35">
      <c r="C174" s="16" t="s">
        <v>38</v>
      </c>
      <c r="E174" s="149">
        <v>69.976729999999989</v>
      </c>
      <c r="F174" s="149">
        <v>112</v>
      </c>
      <c r="G174" s="1">
        <f>+F174*(1+G$6)*G197</f>
        <v>115.91999999999999</v>
      </c>
      <c r="H174" s="1">
        <f t="shared" ref="H174:AR174" si="470">+G174*(1+G$6)*H197</f>
        <v>119.97719999999998</v>
      </c>
      <c r="I174" s="1">
        <f t="shared" si="470"/>
        <v>122.97662999999997</v>
      </c>
      <c r="J174" s="1">
        <f t="shared" si="470"/>
        <v>125.74360417499997</v>
      </c>
      <c r="K174" s="1">
        <f t="shared" si="470"/>
        <v>128.25847625849997</v>
      </c>
      <c r="L174" s="1">
        <f t="shared" si="470"/>
        <v>130.82364578366997</v>
      </c>
      <c r="M174" s="1">
        <f t="shared" si="470"/>
        <v>133.44011869934337</v>
      </c>
      <c r="N174" s="1">
        <f t="shared" si="470"/>
        <v>136.10892107333024</v>
      </c>
      <c r="O174" s="1">
        <f t="shared" si="470"/>
        <v>138.83109949479683</v>
      </c>
      <c r="P174" s="1">
        <f t="shared" si="470"/>
        <v>140.19164426984585</v>
      </c>
      <c r="Q174" s="1">
        <f t="shared" si="470"/>
        <v>142.99547715524278</v>
      </c>
      <c r="R174" s="1">
        <f t="shared" si="470"/>
        <v>145.85538669834764</v>
      </c>
      <c r="S174" s="1">
        <f t="shared" si="470"/>
        <v>148.7724944323146</v>
      </c>
      <c r="T174" s="1">
        <f t="shared" si="470"/>
        <v>151.7479443209609</v>
      </c>
      <c r="U174" s="1">
        <f t="shared" si="470"/>
        <v>154.78290320738012</v>
      </c>
      <c r="V174" s="1">
        <f t="shared" si="470"/>
        <v>157.87856127152773</v>
      </c>
      <c r="W174" s="1">
        <f t="shared" si="470"/>
        <v>161.03613249695829</v>
      </c>
      <c r="X174" s="1">
        <f t="shared" si="470"/>
        <v>147.83116963220772</v>
      </c>
      <c r="Y174" s="1">
        <f t="shared" si="470"/>
        <v>150.78779302485188</v>
      </c>
      <c r="Z174" s="1">
        <f t="shared" si="470"/>
        <v>153.80354888534893</v>
      </c>
      <c r="AA174" s="1">
        <f t="shared" si="470"/>
        <v>156.87961986305592</v>
      </c>
      <c r="AB174" s="1">
        <f t="shared" si="470"/>
        <v>160.01721226031705</v>
      </c>
      <c r="AC174" s="1">
        <f t="shared" si="470"/>
        <v>122.41316737914255</v>
      </c>
      <c r="AD174" s="1">
        <f t="shared" si="470"/>
        <v>124.8614307267254</v>
      </c>
      <c r="AE174" s="1">
        <f t="shared" si="470"/>
        <v>127.35865934125991</v>
      </c>
      <c r="AF174" s="1">
        <f t="shared" si="470"/>
        <v>129.90583252808511</v>
      </c>
      <c r="AG174" s="1">
        <f t="shared" si="470"/>
        <v>132.50394917864682</v>
      </c>
      <c r="AH174" s="1">
        <f t="shared" si="470"/>
        <v>108.12322252977582</v>
      </c>
      <c r="AI174" s="1">
        <f t="shared" si="470"/>
        <v>55.142843490185669</v>
      </c>
      <c r="AJ174" s="1">
        <f t="shared" si="470"/>
        <v>56.245700359989385</v>
      </c>
      <c r="AK174" s="1">
        <f t="shared" si="470"/>
        <v>57.370614367189177</v>
      </c>
      <c r="AL174" s="1">
        <f t="shared" si="470"/>
        <v>58.51802665453296</v>
      </c>
      <c r="AM174" s="1">
        <f t="shared" si="470"/>
        <v>0</v>
      </c>
      <c r="AN174" s="1">
        <f t="shared" si="470"/>
        <v>0</v>
      </c>
      <c r="AO174" s="1">
        <f t="shared" si="470"/>
        <v>0</v>
      </c>
      <c r="AP174" s="1">
        <f t="shared" si="470"/>
        <v>0</v>
      </c>
      <c r="AQ174" s="1">
        <f t="shared" si="470"/>
        <v>0</v>
      </c>
      <c r="AR174" s="1">
        <f t="shared" si="470"/>
        <v>0</v>
      </c>
    </row>
    <row r="175" spans="1:44" x14ac:dyDescent="0.35">
      <c r="C175" s="16" t="s">
        <v>63</v>
      </c>
      <c r="E175" s="149">
        <v>216.13973000000001</v>
      </c>
      <c r="F175" s="149">
        <v>212</v>
      </c>
      <c r="G175" s="1">
        <v>228</v>
      </c>
      <c r="H175" s="1">
        <f t="shared" ref="H175:AR175" si="471">+G175*(1+G$6)*H198</f>
        <v>235.98</v>
      </c>
      <c r="I175" s="1">
        <f t="shared" si="471"/>
        <v>241.87949999999998</v>
      </c>
      <c r="J175" s="1">
        <f t="shared" si="471"/>
        <v>222.58960987499998</v>
      </c>
      <c r="K175" s="1">
        <f t="shared" si="471"/>
        <v>227.04140207249998</v>
      </c>
      <c r="L175" s="1">
        <f t="shared" si="471"/>
        <v>231.58223011394998</v>
      </c>
      <c r="M175" s="1">
        <f t="shared" si="471"/>
        <v>236.21387471622899</v>
      </c>
      <c r="N175" s="1">
        <f t="shared" si="471"/>
        <v>240.93815221055357</v>
      </c>
      <c r="O175" s="1">
        <f t="shared" si="471"/>
        <v>245.75691525476464</v>
      </c>
      <c r="P175" s="1">
        <f t="shared" si="471"/>
        <v>248.16533302426134</v>
      </c>
      <c r="Q175" s="1">
        <f t="shared" si="471"/>
        <v>250.59735328789913</v>
      </c>
      <c r="R175" s="1">
        <f t="shared" si="471"/>
        <v>253.05320735012054</v>
      </c>
      <c r="S175" s="1">
        <f t="shared" si="471"/>
        <v>255.53312878215172</v>
      </c>
      <c r="T175" s="1">
        <f t="shared" si="471"/>
        <v>258.03735344421682</v>
      </c>
      <c r="U175" s="1">
        <f t="shared" si="471"/>
        <v>260.56611950797014</v>
      </c>
      <c r="V175" s="1">
        <f t="shared" si="471"/>
        <v>263.11966747914823</v>
      </c>
      <c r="W175" s="1">
        <f t="shared" si="471"/>
        <v>265.69824022044389</v>
      </c>
      <c r="X175" s="1">
        <f t="shared" si="471"/>
        <v>268.30208297460428</v>
      </c>
      <c r="Y175" s="1">
        <f t="shared" si="471"/>
        <v>270.93144338775539</v>
      </c>
      <c r="Z175" s="1">
        <f t="shared" si="471"/>
        <v>273.58657153295542</v>
      </c>
      <c r="AA175" s="1">
        <f t="shared" si="471"/>
        <v>276.26771993397841</v>
      </c>
      <c r="AB175" s="1">
        <f t="shared" si="471"/>
        <v>278.97514358933137</v>
      </c>
      <c r="AC175" s="1">
        <f t="shared" si="471"/>
        <v>281.70909999650684</v>
      </c>
      <c r="AD175" s="1">
        <f t="shared" si="471"/>
        <v>284.46984917647262</v>
      </c>
      <c r="AE175" s="1">
        <f t="shared" si="471"/>
        <v>287.25765369840201</v>
      </c>
      <c r="AF175" s="1">
        <f t="shared" si="471"/>
        <v>290.07277870464634</v>
      </c>
      <c r="AG175" s="1">
        <f t="shared" si="471"/>
        <v>292.91549193595188</v>
      </c>
      <c r="AH175" s="1">
        <f t="shared" si="471"/>
        <v>295.78606375692419</v>
      </c>
      <c r="AI175" s="1">
        <f t="shared" si="471"/>
        <v>298.68476718174202</v>
      </c>
      <c r="AJ175" s="1">
        <f t="shared" si="471"/>
        <v>301.61187790012309</v>
      </c>
      <c r="AK175" s="1">
        <f t="shared" si="471"/>
        <v>304.56767430354432</v>
      </c>
      <c r="AL175" s="1">
        <f t="shared" si="471"/>
        <v>307.55243751171906</v>
      </c>
      <c r="AM175" s="1">
        <f t="shared" si="471"/>
        <v>310.56645139933391</v>
      </c>
      <c r="AN175" s="1">
        <f t="shared" si="471"/>
        <v>313.61000262304736</v>
      </c>
      <c r="AO175" s="1">
        <f t="shared" si="471"/>
        <v>316.68338064875326</v>
      </c>
      <c r="AP175" s="1">
        <f t="shared" si="471"/>
        <v>319.78687777911108</v>
      </c>
      <c r="AQ175" s="1">
        <f t="shared" si="471"/>
        <v>322.92078918134638</v>
      </c>
      <c r="AR175" s="1">
        <f t="shared" si="471"/>
        <v>326.08541291532362</v>
      </c>
    </row>
    <row r="176" spans="1:44" x14ac:dyDescent="0.35">
      <c r="C176" s="16"/>
      <c r="E176" s="149"/>
      <c r="F176" s="149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</row>
    <row r="177" spans="1:44" x14ac:dyDescent="0.35">
      <c r="C177" s="16" t="s">
        <v>95</v>
      </c>
      <c r="E177" s="149"/>
      <c r="F177" s="149"/>
      <c r="G177" s="1">
        <v>40</v>
      </c>
      <c r="H177" s="1">
        <f t="shared" ref="H177:AR177" si="472">+G177*(1+H6)</f>
        <v>41</v>
      </c>
      <c r="I177" s="1">
        <f t="shared" si="472"/>
        <v>41.922499999999999</v>
      </c>
      <c r="J177" s="1">
        <f t="shared" si="472"/>
        <v>42.760950000000001</v>
      </c>
      <c r="K177" s="1">
        <f t="shared" si="472"/>
        <v>43.616168999999999</v>
      </c>
      <c r="L177" s="1">
        <f t="shared" si="472"/>
        <v>44.488492379999997</v>
      </c>
      <c r="M177" s="1">
        <f t="shared" si="472"/>
        <v>45.378262227599997</v>
      </c>
      <c r="N177" s="1">
        <f t="shared" si="472"/>
        <v>46.285827472152</v>
      </c>
      <c r="O177" s="1">
        <f t="shared" si="472"/>
        <v>47.211544021595039</v>
      </c>
      <c r="P177" s="1">
        <f t="shared" si="472"/>
        <v>48.155774902026941</v>
      </c>
      <c r="Q177" s="1">
        <f t="shared" si="472"/>
        <v>49.118890400067478</v>
      </c>
      <c r="R177" s="1">
        <f t="shared" si="472"/>
        <v>50.101268208068831</v>
      </c>
      <c r="S177" s="1">
        <f t="shared" si="472"/>
        <v>51.103293572230207</v>
      </c>
      <c r="T177" s="1">
        <f t="shared" si="472"/>
        <v>52.12535944367481</v>
      </c>
      <c r="U177" s="1">
        <f t="shared" si="472"/>
        <v>53.167866632548311</v>
      </c>
      <c r="V177" s="1">
        <f t="shared" si="472"/>
        <v>54.231223965199277</v>
      </c>
      <c r="W177" s="1">
        <f t="shared" si="472"/>
        <v>55.31584844450326</v>
      </c>
      <c r="X177" s="1">
        <f t="shared" si="472"/>
        <v>56.422165413393323</v>
      </c>
      <c r="Y177" s="1">
        <f t="shared" si="472"/>
        <v>57.550608721661192</v>
      </c>
      <c r="Z177" s="1">
        <f t="shared" si="472"/>
        <v>58.701620896094418</v>
      </c>
      <c r="AA177" s="1">
        <f t="shared" si="472"/>
        <v>59.875653314016304</v>
      </c>
      <c r="AB177" s="1">
        <f t="shared" si="472"/>
        <v>61.073166380296634</v>
      </c>
      <c r="AC177" s="1">
        <f t="shared" si="472"/>
        <v>62.294629707902565</v>
      </c>
      <c r="AD177" s="1">
        <f t="shared" si="472"/>
        <v>63.540522302060616</v>
      </c>
      <c r="AE177" s="1">
        <f t="shared" si="472"/>
        <v>64.811332748101833</v>
      </c>
      <c r="AF177" s="1">
        <f t="shared" si="472"/>
        <v>66.107559403063874</v>
      </c>
      <c r="AG177" s="1">
        <f t="shared" si="472"/>
        <v>67.429710591125158</v>
      </c>
      <c r="AH177" s="1">
        <f t="shared" si="472"/>
        <v>68.778304802947659</v>
      </c>
      <c r="AI177" s="1">
        <f t="shared" si="472"/>
        <v>70.15387089900662</v>
      </c>
      <c r="AJ177" s="1">
        <f t="shared" si="472"/>
        <v>71.556948316986748</v>
      </c>
      <c r="AK177" s="1">
        <f t="shared" si="472"/>
        <v>72.988087283326479</v>
      </c>
      <c r="AL177" s="1">
        <f t="shared" si="472"/>
        <v>74.447849028993005</v>
      </c>
      <c r="AM177" s="1">
        <v>0</v>
      </c>
      <c r="AN177" s="1">
        <f t="shared" si="472"/>
        <v>0</v>
      </c>
      <c r="AO177" s="1">
        <f t="shared" si="472"/>
        <v>0</v>
      </c>
      <c r="AP177" s="1">
        <f t="shared" si="472"/>
        <v>0</v>
      </c>
      <c r="AQ177" s="1">
        <f t="shared" si="472"/>
        <v>0</v>
      </c>
      <c r="AR177" s="1">
        <f t="shared" si="472"/>
        <v>0</v>
      </c>
    </row>
    <row r="178" spans="1:44" x14ac:dyDescent="0.35">
      <c r="C178" s="16" t="s">
        <v>119</v>
      </c>
      <c r="E178" s="149"/>
      <c r="F178" s="149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>
        <v>200</v>
      </c>
      <c r="AN178" s="1">
        <f>+AM178*(1+AM$6)</f>
        <v>204</v>
      </c>
      <c r="AO178" s="1">
        <f>+AN178*(1+AN$6)</f>
        <v>208.08</v>
      </c>
      <c r="AP178" s="1">
        <f>+AO178*(1+AO$6)</f>
        <v>212.24160000000001</v>
      </c>
      <c r="AQ178" s="1">
        <f>+AP178*(1+AP$6)</f>
        <v>216.48643200000001</v>
      </c>
      <c r="AR178" s="1">
        <f>+AQ178*(1+AQ$6)</f>
        <v>220.81616064000002</v>
      </c>
    </row>
    <row r="179" spans="1:44" x14ac:dyDescent="0.35">
      <c r="C179" s="16"/>
      <c r="E179" s="149"/>
      <c r="F179" s="149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</row>
    <row r="180" spans="1:44" x14ac:dyDescent="0.35">
      <c r="C180" s="16" t="s">
        <v>64</v>
      </c>
      <c r="E180" s="149">
        <v>68.348489999999998</v>
      </c>
      <c r="F180" s="149">
        <v>40.983239999999995</v>
      </c>
      <c r="G180" s="1">
        <f>+F180*(1+G$6)*G199</f>
        <v>42.417653399999992</v>
      </c>
      <c r="H180" s="1">
        <f t="shared" ref="H180:AR180" si="473">+G180*(1+G$6)*H199</f>
        <v>43.902271268999989</v>
      </c>
      <c r="I180" s="1">
        <f t="shared" si="473"/>
        <v>44.999828050724986</v>
      </c>
      <c r="J180" s="1">
        <f t="shared" si="473"/>
        <v>46.012324181866298</v>
      </c>
      <c r="K180" s="1">
        <f t="shared" si="473"/>
        <v>46.932570665503626</v>
      </c>
      <c r="L180" s="1">
        <f t="shared" si="473"/>
        <v>47.871222078813702</v>
      </c>
      <c r="M180" s="1">
        <f t="shared" si="473"/>
        <v>48.828646520389974</v>
      </c>
      <c r="N180" s="1">
        <f t="shared" si="473"/>
        <v>49.805219450797772</v>
      </c>
      <c r="O180" s="1">
        <f t="shared" si="473"/>
        <v>50.801323839813726</v>
      </c>
      <c r="P180" s="1">
        <f t="shared" si="473"/>
        <v>51.2991768134439</v>
      </c>
      <c r="Q180" s="1">
        <f t="shared" si="473"/>
        <v>51.801908746215652</v>
      </c>
      <c r="R180" s="1">
        <f t="shared" si="473"/>
        <v>52.309567451928565</v>
      </c>
      <c r="S180" s="1">
        <f t="shared" si="473"/>
        <v>52.822201212957467</v>
      </c>
      <c r="T180" s="1">
        <f t="shared" si="473"/>
        <v>53.339858784844452</v>
      </c>
      <c r="U180" s="1">
        <f t="shared" si="473"/>
        <v>53.862589400935931</v>
      </c>
      <c r="V180" s="1">
        <f t="shared" si="473"/>
        <v>54.390442777065104</v>
      </c>
      <c r="W180" s="1">
        <f t="shared" si="473"/>
        <v>54.923469116280344</v>
      </c>
      <c r="X180" s="1">
        <f t="shared" si="473"/>
        <v>55.461719113619893</v>
      </c>
      <c r="Y180" s="1">
        <f t="shared" si="473"/>
        <v>56.005243960933363</v>
      </c>
      <c r="Z180" s="1">
        <f t="shared" si="473"/>
        <v>56.554095351750505</v>
      </c>
      <c r="AA180" s="1">
        <f t="shared" si="473"/>
        <v>57.108325486197657</v>
      </c>
      <c r="AB180" s="1">
        <f t="shared" si="473"/>
        <v>57.667987075962394</v>
      </c>
      <c r="AC180" s="1">
        <f t="shared" si="473"/>
        <v>58.233133349306826</v>
      </c>
      <c r="AD180" s="1">
        <f t="shared" si="473"/>
        <v>58.803818056130034</v>
      </c>
      <c r="AE180" s="1">
        <f t="shared" si="473"/>
        <v>59.380095473080111</v>
      </c>
      <c r="AF180" s="1">
        <f t="shared" si="473"/>
        <v>59.962020408716299</v>
      </c>
      <c r="AG180" s="1">
        <f t="shared" si="473"/>
        <v>60.54964820872172</v>
      </c>
      <c r="AH180" s="1">
        <f t="shared" si="473"/>
        <v>61.143034761167193</v>
      </c>
      <c r="AI180" s="1">
        <f t="shared" si="473"/>
        <v>61.742236501826632</v>
      </c>
      <c r="AJ180" s="1">
        <f t="shared" si="473"/>
        <v>62.347310419544534</v>
      </c>
      <c r="AK180" s="1">
        <f t="shared" si="473"/>
        <v>62.958314061656075</v>
      </c>
      <c r="AL180" s="1">
        <f t="shared" si="473"/>
        <v>63.575305539460309</v>
      </c>
      <c r="AM180" s="1">
        <f t="shared" si="473"/>
        <v>64.198343533747021</v>
      </c>
      <c r="AN180" s="1">
        <f t="shared" si="473"/>
        <v>64.82748730037774</v>
      </c>
      <c r="AO180" s="1">
        <f t="shared" si="473"/>
        <v>65.462796675921439</v>
      </c>
      <c r="AP180" s="1">
        <f t="shared" si="473"/>
        <v>66.104332083345469</v>
      </c>
      <c r="AQ180" s="1">
        <f t="shared" si="473"/>
        <v>66.752154537762252</v>
      </c>
      <c r="AR180" s="1">
        <f t="shared" si="473"/>
        <v>67.406325652232326</v>
      </c>
    </row>
    <row r="181" spans="1:44" x14ac:dyDescent="0.35">
      <c r="C181" s="16" t="s">
        <v>65</v>
      </c>
      <c r="E181" s="149"/>
      <c r="F181" s="149">
        <v>83</v>
      </c>
      <c r="G181" s="1">
        <v>52</v>
      </c>
      <c r="H181" s="1">
        <v>55</v>
      </c>
      <c r="I181" s="1">
        <v>75</v>
      </c>
      <c r="J181" s="1">
        <v>0</v>
      </c>
      <c r="K181" s="1">
        <f>+F181*(1+J$6)-40</f>
        <v>44.66</v>
      </c>
      <c r="L181" s="1">
        <v>10</v>
      </c>
      <c r="M181" s="1">
        <f t="shared" ref="M181:AR181" si="474">+H181*(1+L$6)</f>
        <v>56.1</v>
      </c>
      <c r="N181" s="1">
        <v>0</v>
      </c>
      <c r="O181" s="1">
        <f t="shared" si="474"/>
        <v>0</v>
      </c>
      <c r="P181" s="1">
        <f t="shared" si="474"/>
        <v>45.553199999999997</v>
      </c>
      <c r="Q181" s="1">
        <f t="shared" si="474"/>
        <v>10.199999999999999</v>
      </c>
      <c r="R181" s="1">
        <f t="shared" si="474"/>
        <v>57.222000000000001</v>
      </c>
      <c r="S181" s="1">
        <f t="shared" si="474"/>
        <v>0</v>
      </c>
      <c r="T181" s="1">
        <f t="shared" si="474"/>
        <v>0</v>
      </c>
      <c r="U181" s="1">
        <f t="shared" si="474"/>
        <v>46.464264</v>
      </c>
      <c r="V181" s="1">
        <f t="shared" si="474"/>
        <v>10.404</v>
      </c>
      <c r="W181" s="1">
        <f t="shared" si="474"/>
        <v>58.366440000000004</v>
      </c>
      <c r="X181" s="1">
        <f t="shared" si="474"/>
        <v>0</v>
      </c>
      <c r="Y181" s="1">
        <f t="shared" si="474"/>
        <v>0</v>
      </c>
      <c r="Z181" s="1">
        <f t="shared" si="474"/>
        <v>47.393549280000002</v>
      </c>
      <c r="AA181" s="1">
        <f t="shared" si="474"/>
        <v>10.612080000000001</v>
      </c>
      <c r="AB181" s="1">
        <f t="shared" si="474"/>
        <v>59.533768800000004</v>
      </c>
      <c r="AC181" s="1">
        <f t="shared" si="474"/>
        <v>0</v>
      </c>
      <c r="AD181" s="1">
        <f t="shared" si="474"/>
        <v>0</v>
      </c>
      <c r="AE181" s="1">
        <f t="shared" si="474"/>
        <v>48.3414202656</v>
      </c>
      <c r="AF181" s="1">
        <f t="shared" si="474"/>
        <v>10.824321600000001</v>
      </c>
      <c r="AG181" s="1">
        <f t="shared" si="474"/>
        <v>60.724444176000006</v>
      </c>
      <c r="AH181" s="1">
        <f t="shared" si="474"/>
        <v>0</v>
      </c>
      <c r="AI181" s="1">
        <f t="shared" si="474"/>
        <v>0</v>
      </c>
      <c r="AJ181" s="1">
        <f t="shared" si="474"/>
        <v>49.308248670912</v>
      </c>
      <c r="AK181" s="1">
        <f t="shared" si="474"/>
        <v>11.040808032000001</v>
      </c>
      <c r="AL181" s="1">
        <v>0</v>
      </c>
      <c r="AM181" s="1">
        <f t="shared" si="474"/>
        <v>0</v>
      </c>
      <c r="AN181" s="1">
        <f t="shared" si="474"/>
        <v>0</v>
      </c>
      <c r="AO181" s="1">
        <v>0</v>
      </c>
      <c r="AP181" s="1">
        <v>0</v>
      </c>
      <c r="AQ181" s="1">
        <f t="shared" si="474"/>
        <v>0</v>
      </c>
      <c r="AR181" s="1">
        <f t="shared" si="474"/>
        <v>0</v>
      </c>
    </row>
    <row r="182" spans="1:44" x14ac:dyDescent="0.35">
      <c r="C182" s="16"/>
      <c r="E182" s="149"/>
      <c r="F182" s="149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</row>
    <row r="183" spans="1:44" x14ac:dyDescent="0.35">
      <c r="E183" s="150">
        <f>+SUM(E171:E182)</f>
        <v>419.51887666666664</v>
      </c>
      <c r="F183" s="150">
        <f>+SUM(F171:F182)</f>
        <v>518.95257333333336</v>
      </c>
      <c r="G183" s="9">
        <f>+SUM(G171:G182)</f>
        <v>551.30697340000006</v>
      </c>
      <c r="H183" s="9">
        <f t="shared" ref="H183:M183" si="475">+SUM(H171:H182)</f>
        <v>562.89323051899987</v>
      </c>
      <c r="I183" s="9">
        <f t="shared" si="475"/>
        <v>590.31168519384994</v>
      </c>
      <c r="J183" s="9">
        <f t="shared" si="475"/>
        <v>499.33884615595372</v>
      </c>
      <c r="K183" s="9">
        <f t="shared" si="475"/>
        <v>551.36345864193481</v>
      </c>
      <c r="L183" s="9">
        <f t="shared" si="475"/>
        <v>526.79752781477362</v>
      </c>
      <c r="M183" s="9">
        <f t="shared" si="475"/>
        <v>583.19347837106898</v>
      </c>
      <c r="N183" s="9">
        <f t="shared" ref="N183" si="476">+SUM(N171:N182)</f>
        <v>537.59534793849036</v>
      </c>
      <c r="O183" s="9">
        <f t="shared" ref="O183" si="477">+SUM(O171:O182)</f>
        <v>548.30725489726012</v>
      </c>
      <c r="P183" s="9">
        <f t="shared" ref="P183" si="478">+SUM(P171:P182)</f>
        <v>600.34562874159371</v>
      </c>
      <c r="Q183" s="9">
        <f t="shared" ref="Q183" si="479">+SUM(Q171:Q182)</f>
        <v>572.99373931608113</v>
      </c>
      <c r="R183" s="9">
        <f t="shared" ref="R183" si="480">+SUM(R171:R182)</f>
        <v>628.14714162965481</v>
      </c>
      <c r="S183" s="9">
        <f t="shared" ref="S183" si="481">+SUM(S171:S182)</f>
        <v>579.18894415926695</v>
      </c>
      <c r="T183" s="9">
        <f t="shared" ref="T183" si="482">+SUM(T171:T182)</f>
        <v>587.58749867650215</v>
      </c>
      <c r="U183" s="9">
        <f t="shared" ref="U183" si="483">+SUM(U171:U182)</f>
        <v>642.58746508529578</v>
      </c>
      <c r="V183" s="9">
        <f t="shared" ref="V183" si="484">+SUM(V171:V182)</f>
        <v>615.2024922761309</v>
      </c>
      <c r="W183" s="9">
        <f t="shared" ref="W183" si="485">+SUM(W171:W182)</f>
        <v>671.98229899704017</v>
      </c>
      <c r="X183" s="9">
        <f t="shared" ref="X183" si="486">+SUM(X171:X182)</f>
        <v>606.15214922705673</v>
      </c>
      <c r="Y183" s="9">
        <f t="shared" ref="Y183" si="487">+SUM(Y171:Y182)</f>
        <v>614.9328014302979</v>
      </c>
      <c r="Z183" s="9">
        <f t="shared" ref="Z183" si="488">+SUM(Z171:Z182)</f>
        <v>647.85912414137613</v>
      </c>
      <c r="AA183" s="9">
        <f t="shared" ref="AA183" si="489">+SUM(AA171:AA182)</f>
        <v>595.82058060207703</v>
      </c>
      <c r="AB183" s="9">
        <f t="shared" ref="AB183" si="490">+SUM(AB171:AB182)</f>
        <v>653.00600375083263</v>
      </c>
      <c r="AC183" s="9">
        <f t="shared" ref="AC183" si="491">+SUM(AC171:AC182)</f>
        <v>561.06353059068249</v>
      </c>
      <c r="AD183" s="9">
        <f t="shared" ref="AD183" si="492">+SUM(AD171:AD182)</f>
        <v>568.77739042236885</v>
      </c>
      <c r="AE183" s="9">
        <f t="shared" ref="AE183" si="493">+SUM(AE171:AE182)</f>
        <v>624.95296709064371</v>
      </c>
      <c r="AF183" s="9">
        <f t="shared" ref="AF183" si="494">+SUM(AF171:AF182)</f>
        <v>595.39239431999545</v>
      </c>
      <c r="AG183" s="9">
        <f t="shared" ref="AG183:AH183" si="495">+SUM(AG171:AG182)</f>
        <v>653.37352339943902</v>
      </c>
      <c r="AH183" s="9">
        <f t="shared" si="495"/>
        <v>559.45532875401989</v>
      </c>
      <c r="AI183" s="9">
        <f t="shared" ref="AI183:AJ183" si="496">+SUM(AI171:AI182)</f>
        <v>497.16292140222231</v>
      </c>
      <c r="AJ183" s="9">
        <f t="shared" si="496"/>
        <v>552.69807306360633</v>
      </c>
      <c r="AK183" s="9">
        <f t="shared" ref="AK183:AL183" si="497">+SUM(AK171:AK182)</f>
        <v>520.7460451916877</v>
      </c>
      <c r="AL183" s="9">
        <f t="shared" si="497"/>
        <v>516.11057682155626</v>
      </c>
      <c r="AM183" s="9">
        <f t="shared" ref="AM183:AR183" si="498">+SUM(AM171:AM182)</f>
        <v>586.98209218166892</v>
      </c>
      <c r="AN183" s="9">
        <f t="shared" si="498"/>
        <v>594.85913311698482</v>
      </c>
      <c r="AO183" s="9">
        <f t="shared" si="498"/>
        <v>602.85625338210571</v>
      </c>
      <c r="AP183" s="9">
        <f t="shared" si="498"/>
        <v>610.97548744103619</v>
      </c>
      <c r="AQ183" s="9">
        <f t="shared" si="498"/>
        <v>619.21890684925984</v>
      </c>
      <c r="AR183" s="9">
        <f t="shared" si="498"/>
        <v>627.58862096031021</v>
      </c>
    </row>
    <row r="184" spans="1:44" x14ac:dyDescent="0.35"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</row>
    <row r="185" spans="1:44" x14ac:dyDescent="0.35">
      <c r="C185" t="s">
        <v>96</v>
      </c>
      <c r="E185" s="147">
        <v>162</v>
      </c>
      <c r="F185" s="147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23</v>
      </c>
      <c r="Q185" s="2">
        <f>+P185</f>
        <v>23</v>
      </c>
      <c r="R185" s="2">
        <f t="shared" ref="R185:AR185" si="499">+Q185</f>
        <v>23</v>
      </c>
      <c r="S185" s="2">
        <f t="shared" si="499"/>
        <v>23</v>
      </c>
      <c r="T185" s="2">
        <f t="shared" si="499"/>
        <v>23</v>
      </c>
      <c r="U185" s="2">
        <f t="shared" si="499"/>
        <v>23</v>
      </c>
      <c r="V185" s="2">
        <f t="shared" si="499"/>
        <v>23</v>
      </c>
      <c r="W185" s="2">
        <f t="shared" si="499"/>
        <v>23</v>
      </c>
      <c r="X185" s="2">
        <f t="shared" si="499"/>
        <v>23</v>
      </c>
      <c r="Y185" s="2">
        <f t="shared" si="499"/>
        <v>23</v>
      </c>
      <c r="Z185" s="2">
        <f t="shared" si="499"/>
        <v>23</v>
      </c>
      <c r="AA185" s="2">
        <f t="shared" si="499"/>
        <v>23</v>
      </c>
      <c r="AB185" s="2">
        <f t="shared" si="499"/>
        <v>23</v>
      </c>
      <c r="AC185" s="2">
        <f t="shared" si="499"/>
        <v>23</v>
      </c>
      <c r="AD185" s="2">
        <f t="shared" si="499"/>
        <v>23</v>
      </c>
      <c r="AE185" s="2">
        <f t="shared" si="499"/>
        <v>23</v>
      </c>
      <c r="AF185" s="2">
        <f t="shared" si="499"/>
        <v>23</v>
      </c>
      <c r="AG185" s="2">
        <f t="shared" si="499"/>
        <v>23</v>
      </c>
      <c r="AH185" s="2">
        <f t="shared" si="499"/>
        <v>23</v>
      </c>
      <c r="AI185" s="2">
        <f t="shared" si="499"/>
        <v>23</v>
      </c>
      <c r="AJ185" s="2">
        <f t="shared" si="499"/>
        <v>23</v>
      </c>
      <c r="AK185" s="2">
        <f t="shared" si="499"/>
        <v>23</v>
      </c>
      <c r="AL185" s="2">
        <f t="shared" si="499"/>
        <v>23</v>
      </c>
      <c r="AM185" s="2">
        <f t="shared" si="499"/>
        <v>23</v>
      </c>
      <c r="AN185" s="2">
        <f t="shared" si="499"/>
        <v>23</v>
      </c>
      <c r="AO185" s="2">
        <f t="shared" si="499"/>
        <v>23</v>
      </c>
      <c r="AP185" s="2">
        <f t="shared" si="499"/>
        <v>23</v>
      </c>
      <c r="AQ185" s="2">
        <f t="shared" si="499"/>
        <v>23</v>
      </c>
      <c r="AR185" s="2">
        <f t="shared" si="499"/>
        <v>23</v>
      </c>
    </row>
    <row r="186" spans="1:44" x14ac:dyDescent="0.35"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</row>
    <row r="187" spans="1:44" x14ac:dyDescent="0.35">
      <c r="A187" s="125"/>
      <c r="C187" s="112" t="s">
        <v>1</v>
      </c>
      <c r="D187" s="103" t="s">
        <v>24</v>
      </c>
      <c r="E187" s="134"/>
      <c r="F187" s="135">
        <f>-557-24</f>
        <v>-581</v>
      </c>
      <c r="G187" s="104">
        <f t="shared" ref="G187:AR187" si="500">-(F18+F29)*0.25</f>
        <v>-46</v>
      </c>
      <c r="H187" s="104">
        <f t="shared" si="500"/>
        <v>-29.572301171564298</v>
      </c>
      <c r="I187" s="104">
        <f t="shared" si="500"/>
        <v>-17.241930769495632</v>
      </c>
      <c r="J187" s="104">
        <f t="shared" si="500"/>
        <v>-15.392251111526992</v>
      </c>
      <c r="K187" s="104">
        <f t="shared" si="500"/>
        <v>-12.682031253598993</v>
      </c>
      <c r="L187" s="104">
        <f t="shared" si="500"/>
        <v>-12.575951007057554</v>
      </c>
      <c r="M187" s="104">
        <f t="shared" si="500"/>
        <v>-14.001654769155017</v>
      </c>
      <c r="N187" s="104">
        <f t="shared" si="500"/>
        <v>-15.393012728731122</v>
      </c>
      <c r="O187" s="104">
        <f t="shared" si="500"/>
        <v>-14.538109018844322</v>
      </c>
      <c r="P187" s="104">
        <f t="shared" si="500"/>
        <v>-14.179398824945043</v>
      </c>
      <c r="Q187" s="104">
        <f t="shared" si="500"/>
        <v>-13.74217948730551</v>
      </c>
      <c r="R187" s="104">
        <f t="shared" si="500"/>
        <v>-17.060385542002827</v>
      </c>
      <c r="S187" s="104">
        <f t="shared" si="500"/>
        <v>-39.560812831918938</v>
      </c>
      <c r="T187" s="104">
        <f t="shared" si="500"/>
        <v>-51.769174137094474</v>
      </c>
      <c r="U187" s="104">
        <f t="shared" si="500"/>
        <v>-44.454703451714799</v>
      </c>
      <c r="V187" s="104">
        <f t="shared" si="500"/>
        <v>-42.616935137536643</v>
      </c>
      <c r="W187" s="104">
        <f t="shared" si="500"/>
        <v>-40.679768490271456</v>
      </c>
      <c r="X187" s="104">
        <f t="shared" si="500"/>
        <v>-38.132937275430876</v>
      </c>
      <c r="Y187" s="104">
        <f t="shared" si="500"/>
        <v>-35.215249969235408</v>
      </c>
      <c r="Z187" s="104">
        <f t="shared" si="500"/>
        <v>-32.434892974152156</v>
      </c>
      <c r="AA187" s="104">
        <f t="shared" si="500"/>
        <v>-33.585082999032892</v>
      </c>
      <c r="AB187" s="104">
        <f t="shared" si="500"/>
        <v>-34.730645333255566</v>
      </c>
      <c r="AC187" s="104">
        <f t="shared" si="500"/>
        <v>-31.186107219313023</v>
      </c>
      <c r="AD187" s="104">
        <f t="shared" si="500"/>
        <v>-27.679944675327761</v>
      </c>
      <c r="AE187" s="104">
        <f t="shared" si="500"/>
        <v>-24.936618228791595</v>
      </c>
      <c r="AF187" s="104">
        <f t="shared" si="500"/>
        <v>-21.948699740701286</v>
      </c>
      <c r="AG187" s="104">
        <f t="shared" si="500"/>
        <v>-18.827717658630014</v>
      </c>
      <c r="AH187" s="104">
        <f t="shared" si="500"/>
        <v>-15.566038938818595</v>
      </c>
      <c r="AI187" s="104">
        <f t="shared" si="500"/>
        <v>-16.83299828517023</v>
      </c>
      <c r="AJ187" s="104">
        <f t="shared" si="500"/>
        <v>-18.642447414750293</v>
      </c>
      <c r="AK187" s="104">
        <f t="shared" si="500"/>
        <v>-15.530550871171805</v>
      </c>
      <c r="AL187" s="104">
        <f t="shared" si="500"/>
        <v>-12.820773360777183</v>
      </c>
      <c r="AM187" s="104">
        <f t="shared" si="500"/>
        <v>-10.677331940876831</v>
      </c>
      <c r="AN187" s="104">
        <f t="shared" si="500"/>
        <v>-7.7228890272015374</v>
      </c>
      <c r="AO187" s="104">
        <f t="shared" si="500"/>
        <v>-10.55222897552582</v>
      </c>
      <c r="AP187" s="104">
        <f t="shared" si="500"/>
        <v>-13.383865858268951</v>
      </c>
      <c r="AQ187" s="104">
        <f t="shared" si="500"/>
        <v>-10.716581824322567</v>
      </c>
      <c r="AR187" s="105">
        <f t="shared" si="500"/>
        <v>-7.8288997227800561</v>
      </c>
    </row>
    <row r="188" spans="1:44" x14ac:dyDescent="0.35">
      <c r="A188" s="126"/>
      <c r="C188" s="113" t="s">
        <v>1</v>
      </c>
      <c r="D188" s="106" t="s">
        <v>28</v>
      </c>
      <c r="E188" s="138"/>
      <c r="F188" s="145">
        <f>-400/F3</f>
        <v>-98.039215686274503</v>
      </c>
      <c r="G188" s="107">
        <f>-G65*0.25/G3-G64/G3</f>
        <v>-47.53289473684211</v>
      </c>
      <c r="H188" s="107">
        <f t="shared" ref="H188:AK188" si="501">-H65*0.25/H3-H64/H3</f>
        <v>-46.520815429687495</v>
      </c>
      <c r="I188" s="107">
        <f t="shared" si="501"/>
        <v>-47.632226785812364</v>
      </c>
      <c r="J188" s="107">
        <f t="shared" si="501"/>
        <v>-48.649770230524283</v>
      </c>
      <c r="K188" s="107">
        <f t="shared" si="501"/>
        <v>-49.627630612157816</v>
      </c>
      <c r="L188" s="107">
        <f t="shared" si="501"/>
        <v>-50.625145987462183</v>
      </c>
      <c r="M188" s="107">
        <f t="shared" si="501"/>
        <v>-51.642711421810169</v>
      </c>
      <c r="N188" s="107">
        <f t="shared" si="501"/>
        <v>-52.680729921388547</v>
      </c>
      <c r="O188" s="107">
        <f t="shared" si="501"/>
        <v>-53.739612592808456</v>
      </c>
      <c r="P188" s="107">
        <f t="shared" si="501"/>
        <v>-54.819778805923917</v>
      </c>
      <c r="Q188" s="107">
        <f t="shared" si="501"/>
        <v>-55.921656359922999</v>
      </c>
      <c r="R188" s="107">
        <f t="shared" si="501"/>
        <v>0</v>
      </c>
      <c r="S188" s="107">
        <f t="shared" si="501"/>
        <v>-1571.5251430798869</v>
      </c>
      <c r="T188" s="107">
        <f t="shared" si="501"/>
        <v>0</v>
      </c>
      <c r="U188" s="107">
        <f t="shared" si="501"/>
        <v>0</v>
      </c>
      <c r="V188" s="107">
        <f t="shared" si="501"/>
        <v>0</v>
      </c>
      <c r="W188" s="107">
        <f t="shared" si="501"/>
        <v>0</v>
      </c>
      <c r="X188" s="107">
        <f t="shared" si="501"/>
        <v>0</v>
      </c>
      <c r="Y188" s="107">
        <f t="shared" si="501"/>
        <v>0</v>
      </c>
      <c r="Z188" s="107">
        <f t="shared" si="501"/>
        <v>0</v>
      </c>
      <c r="AA188" s="107">
        <f t="shared" si="501"/>
        <v>0</v>
      </c>
      <c r="AB188" s="107">
        <f t="shared" si="501"/>
        <v>0</v>
      </c>
      <c r="AC188" s="107">
        <f t="shared" si="501"/>
        <v>0</v>
      </c>
      <c r="AD188" s="107">
        <f t="shared" si="501"/>
        <v>0</v>
      </c>
      <c r="AE188" s="107">
        <f t="shared" si="501"/>
        <v>0</v>
      </c>
      <c r="AF188" s="107">
        <f t="shared" si="501"/>
        <v>0</v>
      </c>
      <c r="AG188" s="107">
        <f t="shared" si="501"/>
        <v>0</v>
      </c>
      <c r="AH188" s="107">
        <f t="shared" si="501"/>
        <v>0</v>
      </c>
      <c r="AI188" s="107">
        <f t="shared" si="501"/>
        <v>0</v>
      </c>
      <c r="AJ188" s="107">
        <f t="shared" si="501"/>
        <v>0</v>
      </c>
      <c r="AK188" s="107">
        <f t="shared" si="501"/>
        <v>0</v>
      </c>
      <c r="AL188" s="107">
        <f t="shared" ref="AL188:AR188" si="502">-AL65*0.25/AL3-AL64/AL3</f>
        <v>0</v>
      </c>
      <c r="AM188" s="107">
        <f t="shared" si="502"/>
        <v>0</v>
      </c>
      <c r="AN188" s="107">
        <f t="shared" si="502"/>
        <v>0</v>
      </c>
      <c r="AO188" s="107">
        <f t="shared" si="502"/>
        <v>0</v>
      </c>
      <c r="AP188" s="107">
        <f t="shared" si="502"/>
        <v>0</v>
      </c>
      <c r="AQ188" s="107">
        <f t="shared" si="502"/>
        <v>0</v>
      </c>
      <c r="AR188" s="108">
        <f t="shared" si="502"/>
        <v>0</v>
      </c>
    </row>
    <row r="189" spans="1:44" x14ac:dyDescent="0.35">
      <c r="A189" s="126"/>
      <c r="C189" s="113" t="s">
        <v>1</v>
      </c>
      <c r="D189" s="106" t="s">
        <v>7</v>
      </c>
      <c r="E189" s="138"/>
      <c r="F189" s="145">
        <f>-(E37+E45)*F4</f>
        <v>0</v>
      </c>
      <c r="G189" s="107">
        <f t="shared" ref="G189:AR189" si="503">-(F37+F45)*G4</f>
        <v>0</v>
      </c>
      <c r="H189" s="107">
        <f t="shared" si="503"/>
        <v>0</v>
      </c>
      <c r="I189" s="107">
        <f t="shared" si="503"/>
        <v>0</v>
      </c>
      <c r="J189" s="107">
        <f t="shared" si="503"/>
        <v>0</v>
      </c>
      <c r="K189" s="107">
        <f t="shared" si="503"/>
        <v>0</v>
      </c>
      <c r="L189" s="107">
        <f t="shared" si="503"/>
        <v>0</v>
      </c>
      <c r="M189" s="107">
        <f t="shared" si="503"/>
        <v>-13.333448154745552</v>
      </c>
      <c r="N189" s="107">
        <f t="shared" si="503"/>
        <v>-14.662807766424333</v>
      </c>
      <c r="O189" s="107">
        <f t="shared" si="503"/>
        <v>-15.928864539451746</v>
      </c>
      <c r="P189" s="107">
        <f t="shared" si="503"/>
        <v>-17.134632894715953</v>
      </c>
      <c r="Q189" s="107">
        <f t="shared" si="503"/>
        <v>-7.3452877147163491</v>
      </c>
      <c r="R189" s="107">
        <f t="shared" si="503"/>
        <v>-8.3050359187774774</v>
      </c>
      <c r="S189" s="107">
        <f t="shared" si="503"/>
        <v>-9.2190818274071216</v>
      </c>
      <c r="T189" s="107">
        <f t="shared" si="503"/>
        <v>-10.089601740387733</v>
      </c>
      <c r="U189" s="107">
        <f t="shared" si="503"/>
        <v>-10.918668324178793</v>
      </c>
      <c r="V189" s="107">
        <f t="shared" si="503"/>
        <v>-11.708255546836947</v>
      </c>
      <c r="W189" s="107">
        <f t="shared" si="503"/>
        <v>0</v>
      </c>
      <c r="X189" s="107">
        <f t="shared" si="503"/>
        <v>0</v>
      </c>
      <c r="Y189" s="107">
        <f t="shared" si="503"/>
        <v>0</v>
      </c>
      <c r="Z189" s="107">
        <f t="shared" si="503"/>
        <v>0</v>
      </c>
      <c r="AA189" s="107">
        <f t="shared" si="503"/>
        <v>0</v>
      </c>
      <c r="AB189" s="107">
        <f t="shared" si="503"/>
        <v>0</v>
      </c>
      <c r="AC189" s="107">
        <f t="shared" si="503"/>
        <v>0</v>
      </c>
      <c r="AD189" s="107">
        <f t="shared" si="503"/>
        <v>0</v>
      </c>
      <c r="AE189" s="107">
        <f t="shared" si="503"/>
        <v>0</v>
      </c>
      <c r="AF189" s="107">
        <f t="shared" si="503"/>
        <v>0</v>
      </c>
      <c r="AG189" s="107">
        <f t="shared" si="503"/>
        <v>0</v>
      </c>
      <c r="AH189" s="107">
        <f t="shared" si="503"/>
        <v>0</v>
      </c>
      <c r="AI189" s="107">
        <f t="shared" si="503"/>
        <v>0</v>
      </c>
      <c r="AJ189" s="107">
        <f t="shared" si="503"/>
        <v>0</v>
      </c>
      <c r="AK189" s="107">
        <f t="shared" si="503"/>
        <v>0</v>
      </c>
      <c r="AL189" s="107">
        <f t="shared" si="503"/>
        <v>0</v>
      </c>
      <c r="AM189" s="107">
        <f t="shared" si="503"/>
        <v>0</v>
      </c>
      <c r="AN189" s="107">
        <f t="shared" si="503"/>
        <v>0</v>
      </c>
      <c r="AO189" s="107">
        <f t="shared" si="503"/>
        <v>0</v>
      </c>
      <c r="AP189" s="107">
        <f t="shared" si="503"/>
        <v>0</v>
      </c>
      <c r="AQ189" s="107">
        <f t="shared" si="503"/>
        <v>0</v>
      </c>
      <c r="AR189" s="108">
        <f t="shared" si="503"/>
        <v>0</v>
      </c>
    </row>
    <row r="190" spans="1:44" x14ac:dyDescent="0.35">
      <c r="A190" s="126"/>
      <c r="C190" s="113" t="s">
        <v>1</v>
      </c>
      <c r="D190" s="106" t="s">
        <v>118</v>
      </c>
      <c r="E190" s="138"/>
      <c r="F190" s="145">
        <f>-(E55*0.25+E54)/F3</f>
        <v>0</v>
      </c>
      <c r="G190" s="107">
        <f t="shared" ref="G190:AR190" si="504">-(F55*0.25+F54)/G3</f>
        <v>0</v>
      </c>
      <c r="H190" s="107">
        <f t="shared" si="504"/>
        <v>0</v>
      </c>
      <c r="I190" s="107">
        <f t="shared" si="504"/>
        <v>0</v>
      </c>
      <c r="J190" s="107">
        <f t="shared" si="504"/>
        <v>0</v>
      </c>
      <c r="K190" s="107">
        <f t="shared" si="504"/>
        <v>0</v>
      </c>
      <c r="L190" s="107">
        <f t="shared" si="504"/>
        <v>0</v>
      </c>
      <c r="M190" s="107">
        <f t="shared" si="504"/>
        <v>0</v>
      </c>
      <c r="N190" s="107">
        <f t="shared" si="504"/>
        <v>0</v>
      </c>
      <c r="O190" s="107">
        <f t="shared" si="504"/>
        <v>-0.3506634671874993</v>
      </c>
      <c r="P190" s="107">
        <f t="shared" si="504"/>
        <v>0</v>
      </c>
      <c r="Q190" s="107">
        <f t="shared" si="504"/>
        <v>0</v>
      </c>
      <c r="R190" s="107">
        <f t="shared" si="504"/>
        <v>0</v>
      </c>
      <c r="S190" s="107">
        <f t="shared" si="504"/>
        <v>0</v>
      </c>
      <c r="T190" s="107">
        <f t="shared" si="504"/>
        <v>0</v>
      </c>
      <c r="U190" s="107">
        <f t="shared" si="504"/>
        <v>0</v>
      </c>
      <c r="V190" s="107">
        <f t="shared" si="504"/>
        <v>0</v>
      </c>
      <c r="W190" s="107">
        <f t="shared" si="504"/>
        <v>0</v>
      </c>
      <c r="X190" s="107">
        <f t="shared" si="504"/>
        <v>0</v>
      </c>
      <c r="Y190" s="107">
        <f t="shared" si="504"/>
        <v>0</v>
      </c>
      <c r="Z190" s="107">
        <f t="shared" si="504"/>
        <v>0</v>
      </c>
      <c r="AA190" s="107">
        <f t="shared" si="504"/>
        <v>0</v>
      </c>
      <c r="AB190" s="107">
        <f t="shared" si="504"/>
        <v>0</v>
      </c>
      <c r="AC190" s="107">
        <f t="shared" si="504"/>
        <v>0</v>
      </c>
      <c r="AD190" s="107">
        <f t="shared" si="504"/>
        <v>0</v>
      </c>
      <c r="AE190" s="107">
        <f t="shared" si="504"/>
        <v>0</v>
      </c>
      <c r="AF190" s="107">
        <f t="shared" si="504"/>
        <v>0</v>
      </c>
      <c r="AG190" s="107">
        <f t="shared" si="504"/>
        <v>0</v>
      </c>
      <c r="AH190" s="107">
        <f t="shared" si="504"/>
        <v>0</v>
      </c>
      <c r="AI190" s="107">
        <f t="shared" si="504"/>
        <v>0</v>
      </c>
      <c r="AJ190" s="107">
        <f t="shared" si="504"/>
        <v>0</v>
      </c>
      <c r="AK190" s="107">
        <f t="shared" si="504"/>
        <v>0</v>
      </c>
      <c r="AL190" s="107">
        <f t="shared" si="504"/>
        <v>0</v>
      </c>
      <c r="AM190" s="107">
        <f t="shared" si="504"/>
        <v>0</v>
      </c>
      <c r="AN190" s="107">
        <f t="shared" si="504"/>
        <v>0</v>
      </c>
      <c r="AO190" s="107">
        <f t="shared" si="504"/>
        <v>0</v>
      </c>
      <c r="AP190" s="107">
        <f t="shared" si="504"/>
        <v>0</v>
      </c>
      <c r="AQ190" s="107">
        <f t="shared" si="504"/>
        <v>0</v>
      </c>
      <c r="AR190" s="108">
        <f t="shared" si="504"/>
        <v>0</v>
      </c>
    </row>
    <row r="191" spans="1:44" x14ac:dyDescent="0.35">
      <c r="A191" s="126"/>
      <c r="C191" s="113" t="s">
        <v>1</v>
      </c>
      <c r="D191" s="106" t="s">
        <v>106</v>
      </c>
      <c r="E191" s="138"/>
      <c r="F191" s="145">
        <f>-(E74+E76+E83+E91+E93)*F4*0.25</f>
        <v>-3.9375</v>
      </c>
      <c r="G191" s="107">
        <f t="shared" ref="G191:AR191" si="505">-(F74+F76+F83+F91+F93)*G4*0.25</f>
        <v>-5.8218749999999995</v>
      </c>
      <c r="H191" s="107">
        <f t="shared" si="505"/>
        <v>-5.791500000000001</v>
      </c>
      <c r="I191" s="107">
        <f t="shared" si="505"/>
        <v>0</v>
      </c>
      <c r="J191" s="107">
        <f t="shared" si="505"/>
        <v>-2.9645000000000006</v>
      </c>
      <c r="K191" s="107">
        <f t="shared" si="505"/>
        <v>0</v>
      </c>
      <c r="L191" s="107">
        <f t="shared" si="505"/>
        <v>-1.0231148125000029</v>
      </c>
      <c r="M191" s="107">
        <f t="shared" si="505"/>
        <v>0</v>
      </c>
      <c r="N191" s="107">
        <f t="shared" si="505"/>
        <v>0</v>
      </c>
      <c r="O191" s="107">
        <f t="shared" si="505"/>
        <v>0</v>
      </c>
      <c r="P191" s="107">
        <f t="shared" si="505"/>
        <v>0</v>
      </c>
      <c r="Q191" s="107">
        <f t="shared" si="505"/>
        <v>0</v>
      </c>
      <c r="R191" s="107">
        <f t="shared" si="505"/>
        <v>0</v>
      </c>
      <c r="S191" s="107">
        <f t="shared" si="505"/>
        <v>0</v>
      </c>
      <c r="T191" s="107">
        <f t="shared" si="505"/>
        <v>0</v>
      </c>
      <c r="U191" s="107">
        <f t="shared" si="505"/>
        <v>0</v>
      </c>
      <c r="V191" s="107">
        <f t="shared" si="505"/>
        <v>0</v>
      </c>
      <c r="W191" s="107">
        <f t="shared" si="505"/>
        <v>0</v>
      </c>
      <c r="X191" s="107">
        <f t="shared" si="505"/>
        <v>0</v>
      </c>
      <c r="Y191" s="107">
        <f t="shared" si="505"/>
        <v>0</v>
      </c>
      <c r="Z191" s="107">
        <f t="shared" si="505"/>
        <v>0</v>
      </c>
      <c r="AA191" s="107">
        <f t="shared" si="505"/>
        <v>0</v>
      </c>
      <c r="AB191" s="107">
        <f t="shared" si="505"/>
        <v>0</v>
      </c>
      <c r="AC191" s="107">
        <f t="shared" si="505"/>
        <v>0</v>
      </c>
      <c r="AD191" s="107">
        <f t="shared" si="505"/>
        <v>0</v>
      </c>
      <c r="AE191" s="107">
        <f t="shared" si="505"/>
        <v>0</v>
      </c>
      <c r="AF191" s="107">
        <f t="shared" si="505"/>
        <v>0</v>
      </c>
      <c r="AG191" s="107">
        <f t="shared" si="505"/>
        <v>0</v>
      </c>
      <c r="AH191" s="107">
        <f t="shared" si="505"/>
        <v>0</v>
      </c>
      <c r="AI191" s="107">
        <f t="shared" si="505"/>
        <v>0</v>
      </c>
      <c r="AJ191" s="107">
        <f t="shared" si="505"/>
        <v>0</v>
      </c>
      <c r="AK191" s="107">
        <f t="shared" si="505"/>
        <v>0</v>
      </c>
      <c r="AL191" s="107">
        <f t="shared" si="505"/>
        <v>0</v>
      </c>
      <c r="AM191" s="107">
        <f t="shared" si="505"/>
        <v>0</v>
      </c>
      <c r="AN191" s="107">
        <f t="shared" si="505"/>
        <v>0</v>
      </c>
      <c r="AO191" s="107">
        <f t="shared" si="505"/>
        <v>0</v>
      </c>
      <c r="AP191" s="107">
        <f t="shared" si="505"/>
        <v>0</v>
      </c>
      <c r="AQ191" s="107">
        <f t="shared" si="505"/>
        <v>0</v>
      </c>
      <c r="AR191" s="108">
        <f t="shared" si="505"/>
        <v>0</v>
      </c>
    </row>
    <row r="192" spans="1:44" x14ac:dyDescent="0.35">
      <c r="A192" s="126"/>
      <c r="C192" s="113" t="s">
        <v>1</v>
      </c>
      <c r="D192" s="106" t="s">
        <v>107</v>
      </c>
      <c r="E192" s="138"/>
      <c r="F192" s="145">
        <f>-(E100+E108+E127)</f>
        <v>0</v>
      </c>
      <c r="G192" s="107">
        <f t="shared" ref="G192:AR192" si="506">-(F100+F108+F127)</f>
        <v>0</v>
      </c>
      <c r="H192" s="107">
        <f t="shared" si="506"/>
        <v>0</v>
      </c>
      <c r="I192" s="107">
        <f t="shared" si="506"/>
        <v>0</v>
      </c>
      <c r="J192" s="107">
        <f t="shared" si="506"/>
        <v>0</v>
      </c>
      <c r="K192" s="107">
        <f t="shared" si="506"/>
        <v>0</v>
      </c>
      <c r="L192" s="107">
        <f t="shared" si="506"/>
        <v>0</v>
      </c>
      <c r="M192" s="107">
        <f t="shared" si="506"/>
        <v>0</v>
      </c>
      <c r="N192" s="107">
        <f t="shared" si="506"/>
        <v>-86.960625903374961</v>
      </c>
      <c r="O192" s="107">
        <f t="shared" si="506"/>
        <v>0</v>
      </c>
      <c r="P192" s="107">
        <f t="shared" si="506"/>
        <v>0</v>
      </c>
      <c r="Q192" s="107">
        <f t="shared" si="506"/>
        <v>0</v>
      </c>
      <c r="R192" s="107">
        <f t="shared" si="506"/>
        <v>0</v>
      </c>
      <c r="S192" s="107">
        <f t="shared" si="506"/>
        <v>0</v>
      </c>
      <c r="T192" s="107">
        <f t="shared" si="506"/>
        <v>0</v>
      </c>
      <c r="U192" s="107">
        <f t="shared" si="506"/>
        <v>0</v>
      </c>
      <c r="V192" s="107">
        <f t="shared" si="506"/>
        <v>0</v>
      </c>
      <c r="W192" s="107">
        <f t="shared" si="506"/>
        <v>0</v>
      </c>
      <c r="X192" s="107">
        <f t="shared" si="506"/>
        <v>0</v>
      </c>
      <c r="Y192" s="107">
        <f t="shared" si="506"/>
        <v>0</v>
      </c>
      <c r="Z192" s="107">
        <f t="shared" si="506"/>
        <v>0</v>
      </c>
      <c r="AA192" s="107">
        <f t="shared" si="506"/>
        <v>0</v>
      </c>
      <c r="AB192" s="107">
        <f t="shared" si="506"/>
        <v>-181.62210603674333</v>
      </c>
      <c r="AC192" s="107">
        <f t="shared" si="506"/>
        <v>0</v>
      </c>
      <c r="AD192" s="107">
        <f t="shared" si="506"/>
        <v>0</v>
      </c>
      <c r="AE192" s="107">
        <f t="shared" si="506"/>
        <v>0</v>
      </c>
      <c r="AF192" s="107">
        <f t="shared" si="506"/>
        <v>0</v>
      </c>
      <c r="AG192" s="107">
        <f t="shared" si="506"/>
        <v>0</v>
      </c>
      <c r="AH192" s="107">
        <f t="shared" si="506"/>
        <v>0</v>
      </c>
      <c r="AI192" s="107">
        <f t="shared" si="506"/>
        <v>0</v>
      </c>
      <c r="AJ192" s="107">
        <f t="shared" si="506"/>
        <v>0</v>
      </c>
      <c r="AK192" s="107">
        <f t="shared" si="506"/>
        <v>0</v>
      </c>
      <c r="AL192" s="107">
        <f t="shared" si="506"/>
        <v>0</v>
      </c>
      <c r="AM192" s="107">
        <f t="shared" si="506"/>
        <v>0</v>
      </c>
      <c r="AN192" s="107">
        <f t="shared" si="506"/>
        <v>0</v>
      </c>
      <c r="AO192" s="107">
        <f t="shared" si="506"/>
        <v>0</v>
      </c>
      <c r="AP192" s="107">
        <f t="shared" si="506"/>
        <v>-465.29905643120634</v>
      </c>
      <c r="AQ192" s="107">
        <f t="shared" si="506"/>
        <v>0</v>
      </c>
      <c r="AR192" s="108">
        <f t="shared" si="506"/>
        <v>0</v>
      </c>
    </row>
    <row r="193" spans="1:44" x14ac:dyDescent="0.35">
      <c r="A193" s="127"/>
      <c r="C193" s="114" t="s">
        <v>1</v>
      </c>
      <c r="D193" s="109" t="s">
        <v>108</v>
      </c>
      <c r="E193" s="139"/>
      <c r="F193" s="151">
        <f>-(E118+E135+E143)/F3</f>
        <v>0</v>
      </c>
      <c r="G193" s="110">
        <f t="shared" ref="G193:AR193" si="507">-(F118+F135+F143)/G3</f>
        <v>0</v>
      </c>
      <c r="H193" s="110">
        <f t="shared" si="507"/>
        <v>0</v>
      </c>
      <c r="I193" s="110">
        <f t="shared" si="507"/>
        <v>0</v>
      </c>
      <c r="J193" s="110">
        <f t="shared" si="507"/>
        <v>0</v>
      </c>
      <c r="K193" s="110">
        <f t="shared" si="507"/>
        <v>0</v>
      </c>
      <c r="L193" s="110">
        <f t="shared" si="507"/>
        <v>0</v>
      </c>
      <c r="M193" s="110">
        <f t="shared" si="507"/>
        <v>0</v>
      </c>
      <c r="N193" s="110">
        <f t="shared" si="507"/>
        <v>0</v>
      </c>
      <c r="O193" s="110">
        <f t="shared" si="507"/>
        <v>0</v>
      </c>
      <c r="P193" s="110">
        <f t="shared" si="507"/>
        <v>0</v>
      </c>
      <c r="Q193" s="110">
        <f t="shared" si="507"/>
        <v>0</v>
      </c>
      <c r="R193" s="110">
        <f t="shared" si="507"/>
        <v>0</v>
      </c>
      <c r="S193" s="110">
        <f t="shared" si="507"/>
        <v>-298.76262269121202</v>
      </c>
      <c r="T193" s="110">
        <f t="shared" si="507"/>
        <v>0</v>
      </c>
      <c r="U193" s="110">
        <f t="shared" si="507"/>
        <v>0</v>
      </c>
      <c r="V193" s="110">
        <f t="shared" si="507"/>
        <v>0</v>
      </c>
      <c r="W193" s="110">
        <f t="shared" si="507"/>
        <v>0</v>
      </c>
      <c r="X193" s="110">
        <f t="shared" si="507"/>
        <v>-20.115526758014131</v>
      </c>
      <c r="Y193" s="110">
        <f t="shared" si="507"/>
        <v>0</v>
      </c>
      <c r="Z193" s="110">
        <f t="shared" si="507"/>
        <v>0</v>
      </c>
      <c r="AA193" s="110">
        <f t="shared" si="507"/>
        <v>0</v>
      </c>
      <c r="AB193" s="110">
        <f t="shared" si="507"/>
        <v>0</v>
      </c>
      <c r="AC193" s="110">
        <f t="shared" si="507"/>
        <v>0</v>
      </c>
      <c r="AD193" s="110">
        <f t="shared" si="507"/>
        <v>0</v>
      </c>
      <c r="AE193" s="110">
        <f t="shared" si="507"/>
        <v>0</v>
      </c>
      <c r="AF193" s="110">
        <f t="shared" si="507"/>
        <v>0</v>
      </c>
      <c r="AG193" s="110">
        <f t="shared" si="507"/>
        <v>0</v>
      </c>
      <c r="AH193" s="110">
        <f t="shared" si="507"/>
        <v>0</v>
      </c>
      <c r="AI193" s="110">
        <f t="shared" si="507"/>
        <v>0</v>
      </c>
      <c r="AJ193" s="110">
        <f t="shared" si="507"/>
        <v>-170.86823474042515</v>
      </c>
      <c r="AK193" s="110">
        <f t="shared" si="507"/>
        <v>0</v>
      </c>
      <c r="AL193" s="110">
        <f t="shared" si="507"/>
        <v>0</v>
      </c>
      <c r="AM193" s="110">
        <f t="shared" si="507"/>
        <v>0</v>
      </c>
      <c r="AN193" s="110">
        <f t="shared" si="507"/>
        <v>0</v>
      </c>
      <c r="AO193" s="110">
        <f t="shared" si="507"/>
        <v>0</v>
      </c>
      <c r="AP193" s="110">
        <f t="shared" si="507"/>
        <v>0</v>
      </c>
      <c r="AQ193" s="110">
        <f t="shared" si="507"/>
        <v>0</v>
      </c>
      <c r="AR193" s="111">
        <f t="shared" si="507"/>
        <v>0</v>
      </c>
    </row>
    <row r="196" spans="1:44" x14ac:dyDescent="0.35">
      <c r="B196" s="16" t="s">
        <v>67</v>
      </c>
      <c r="E196" s="18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</row>
    <row r="197" spans="1:44" x14ac:dyDescent="0.35">
      <c r="C197" s="16" t="s">
        <v>38</v>
      </c>
      <c r="F197" s="19"/>
      <c r="G197" s="19">
        <v>1</v>
      </c>
      <c r="H197" s="19">
        <v>1</v>
      </c>
      <c r="I197" s="19">
        <v>1</v>
      </c>
      <c r="J197" s="19">
        <v>1</v>
      </c>
      <c r="K197" s="19">
        <v>1</v>
      </c>
      <c r="L197" s="19">
        <v>1</v>
      </c>
      <c r="M197" s="19">
        <v>1</v>
      </c>
      <c r="N197" s="19">
        <v>1</v>
      </c>
      <c r="O197" s="19">
        <v>1</v>
      </c>
      <c r="P197" s="19">
        <v>0.99</v>
      </c>
      <c r="Q197" s="19">
        <v>1</v>
      </c>
      <c r="R197" s="19">
        <v>1</v>
      </c>
      <c r="S197" s="19">
        <v>1</v>
      </c>
      <c r="T197" s="19">
        <v>1</v>
      </c>
      <c r="U197" s="19">
        <v>1</v>
      </c>
      <c r="V197" s="19">
        <v>1</v>
      </c>
      <c r="W197" s="19">
        <v>1</v>
      </c>
      <c r="X197" s="22">
        <v>0.9</v>
      </c>
      <c r="Y197" s="19">
        <v>1</v>
      </c>
      <c r="Z197" s="19">
        <v>1</v>
      </c>
      <c r="AA197" s="19">
        <v>1</v>
      </c>
      <c r="AB197" s="19">
        <v>1</v>
      </c>
      <c r="AC197" s="22">
        <v>0.75</v>
      </c>
      <c r="AD197" s="19">
        <v>1</v>
      </c>
      <c r="AE197" s="19">
        <v>1</v>
      </c>
      <c r="AF197" s="19">
        <v>1</v>
      </c>
      <c r="AG197" s="19">
        <v>1</v>
      </c>
      <c r="AH197" s="19">
        <v>0.8</v>
      </c>
      <c r="AI197" s="19">
        <v>0.5</v>
      </c>
      <c r="AJ197" s="19">
        <v>1</v>
      </c>
      <c r="AK197" s="19">
        <v>1</v>
      </c>
      <c r="AL197" s="19">
        <v>1</v>
      </c>
      <c r="AM197" s="19">
        <v>0</v>
      </c>
      <c r="AN197" s="19">
        <v>1</v>
      </c>
      <c r="AO197" s="19">
        <v>1</v>
      </c>
      <c r="AP197" s="19">
        <v>1</v>
      </c>
      <c r="AQ197" s="19">
        <v>1</v>
      </c>
      <c r="AR197" s="19">
        <v>1</v>
      </c>
    </row>
    <row r="198" spans="1:44" x14ac:dyDescent="0.35">
      <c r="C198" s="16" t="s">
        <v>63</v>
      </c>
      <c r="F198" s="19"/>
      <c r="G198" s="19">
        <v>1</v>
      </c>
      <c r="H198" s="19">
        <v>1</v>
      </c>
      <c r="I198" s="19">
        <v>1</v>
      </c>
      <c r="J198" s="19">
        <v>0.9</v>
      </c>
      <c r="K198" s="19">
        <v>1</v>
      </c>
      <c r="L198" s="19">
        <v>1</v>
      </c>
      <c r="M198" s="19">
        <v>1</v>
      </c>
      <c r="N198" s="19">
        <v>1</v>
      </c>
      <c r="O198" s="19">
        <v>1</v>
      </c>
      <c r="P198" s="19">
        <v>0.99</v>
      </c>
      <c r="Q198" s="22">
        <v>0.99</v>
      </c>
      <c r="R198" s="22">
        <v>0.99</v>
      </c>
      <c r="S198" s="22">
        <v>0.99</v>
      </c>
      <c r="T198" s="22">
        <v>0.99</v>
      </c>
      <c r="U198" s="22">
        <v>0.99</v>
      </c>
      <c r="V198" s="22">
        <v>0.99</v>
      </c>
      <c r="W198" s="22">
        <v>0.99</v>
      </c>
      <c r="X198" s="22">
        <v>0.99</v>
      </c>
      <c r="Y198" s="22">
        <v>0.99</v>
      </c>
      <c r="Z198" s="22">
        <v>0.99</v>
      </c>
      <c r="AA198" s="22">
        <v>0.99</v>
      </c>
      <c r="AB198" s="22">
        <v>0.99</v>
      </c>
      <c r="AC198" s="22">
        <v>0.99</v>
      </c>
      <c r="AD198" s="22">
        <v>0.99</v>
      </c>
      <c r="AE198" s="22">
        <v>0.99</v>
      </c>
      <c r="AF198" s="22">
        <v>0.99</v>
      </c>
      <c r="AG198" s="22">
        <v>0.99</v>
      </c>
      <c r="AH198" s="22">
        <v>0.99</v>
      </c>
      <c r="AI198" s="22">
        <v>0.99</v>
      </c>
      <c r="AJ198" s="22">
        <v>0.99</v>
      </c>
      <c r="AK198" s="22">
        <v>0.99</v>
      </c>
      <c r="AL198" s="22">
        <v>0.99</v>
      </c>
      <c r="AM198" s="22">
        <v>0.99</v>
      </c>
      <c r="AN198" s="22">
        <v>0.99</v>
      </c>
      <c r="AO198" s="22">
        <v>0.99</v>
      </c>
      <c r="AP198" s="22">
        <v>0.99</v>
      </c>
      <c r="AQ198" s="22">
        <v>0.99</v>
      </c>
      <c r="AR198" s="22">
        <v>0.99</v>
      </c>
    </row>
    <row r="199" spans="1:44" x14ac:dyDescent="0.35">
      <c r="C199" s="16" t="s">
        <v>64</v>
      </c>
      <c r="F199" s="19"/>
      <c r="G199" s="19">
        <v>1</v>
      </c>
      <c r="H199" s="19">
        <v>1</v>
      </c>
      <c r="I199" s="19">
        <v>1</v>
      </c>
      <c r="J199" s="19">
        <v>1</v>
      </c>
      <c r="K199" s="19">
        <v>1</v>
      </c>
      <c r="L199" s="19">
        <v>1</v>
      </c>
      <c r="M199" s="19">
        <v>1</v>
      </c>
      <c r="N199" s="19">
        <v>1</v>
      </c>
      <c r="O199" s="19">
        <v>1</v>
      </c>
      <c r="P199" s="19">
        <v>0.99</v>
      </c>
      <c r="Q199" s="22">
        <v>0.99</v>
      </c>
      <c r="R199" s="22">
        <v>0.99</v>
      </c>
      <c r="S199" s="22">
        <v>0.99</v>
      </c>
      <c r="T199" s="22">
        <v>0.99</v>
      </c>
      <c r="U199" s="22">
        <v>0.99</v>
      </c>
      <c r="V199" s="22">
        <v>0.99</v>
      </c>
      <c r="W199" s="22">
        <v>0.99</v>
      </c>
      <c r="X199" s="22">
        <v>0.99</v>
      </c>
      <c r="Y199" s="22">
        <v>0.99</v>
      </c>
      <c r="Z199" s="22">
        <v>0.99</v>
      </c>
      <c r="AA199" s="22">
        <v>0.99</v>
      </c>
      <c r="AB199" s="22">
        <v>0.99</v>
      </c>
      <c r="AC199" s="22">
        <v>0.99</v>
      </c>
      <c r="AD199" s="22">
        <v>0.99</v>
      </c>
      <c r="AE199" s="22">
        <v>0.99</v>
      </c>
      <c r="AF199" s="22">
        <v>0.99</v>
      </c>
      <c r="AG199" s="22">
        <v>0.99</v>
      </c>
      <c r="AH199" s="22">
        <v>0.99</v>
      </c>
      <c r="AI199" s="22">
        <v>0.99</v>
      </c>
      <c r="AJ199" s="22">
        <v>0.99</v>
      </c>
      <c r="AK199" s="22">
        <v>0.99</v>
      </c>
      <c r="AL199" s="22">
        <v>0.99</v>
      </c>
      <c r="AM199" s="22">
        <v>0.99</v>
      </c>
      <c r="AN199" s="22">
        <v>0.99</v>
      </c>
      <c r="AO199" s="22">
        <v>0.99</v>
      </c>
      <c r="AP199" s="22">
        <v>0.99</v>
      </c>
      <c r="AQ199" s="22">
        <v>0.99</v>
      </c>
      <c r="AR199" s="22">
        <v>0.99</v>
      </c>
    </row>
    <row r="200" spans="1:44" x14ac:dyDescent="0.35">
      <c r="C200" s="16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</row>
    <row r="201" spans="1:44" x14ac:dyDescent="0.35">
      <c r="C201" s="16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</row>
  </sheetData>
  <conditionalFormatting sqref="E12:AR12">
    <cfRule type="iconSet" priority="20">
      <iconSet>
        <cfvo type="percent" val="0"/>
        <cfvo type="num" val="0"/>
        <cfvo type="num" val="100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lve">
                <anchor moveWithCells="1">
                  <from>
                    <xdr:col>0</xdr:col>
                    <xdr:colOff>6350</xdr:colOff>
                    <xdr:row>1</xdr:row>
                    <xdr:rowOff>76200</xdr:rowOff>
                  </from>
                  <to>
                    <xdr:col>0</xdr:col>
                    <xdr:colOff>539750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43DBCE7D-1F00-4470-A335-23EABC473D4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G24:AR24</xm:sqref>
        </x14:conditionalFormatting>
        <x14:conditionalFormatting xmlns:xm="http://schemas.microsoft.com/office/excel/2006/main">
          <x14:cfRule type="iconSet" priority="12" id="{BC56DCDB-57E9-4D15-ACAB-BCEECB964D79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G35:AR35</xm:sqref>
        </x14:conditionalFormatting>
        <x14:conditionalFormatting xmlns:xm="http://schemas.microsoft.com/office/excel/2006/main">
          <x14:cfRule type="iconSet" priority="11" id="{5367E9F4-1266-4E73-9C98-73B904FB5982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G43:AR43</xm:sqref>
        </x14:conditionalFormatting>
        <x14:conditionalFormatting xmlns:xm="http://schemas.microsoft.com/office/excel/2006/main">
          <x14:cfRule type="iconSet" priority="10" id="{05F29D79-611E-4E08-AA18-960EADBA800C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G52:AR52</xm:sqref>
        </x14:conditionalFormatting>
        <x14:conditionalFormatting xmlns:xm="http://schemas.microsoft.com/office/excel/2006/main">
          <x14:cfRule type="iconSet" priority="9" id="{92B194B6-FC51-437F-BE19-5A883AB79033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G62:AR62</xm:sqref>
        </x14:conditionalFormatting>
        <x14:conditionalFormatting xmlns:xm="http://schemas.microsoft.com/office/excel/2006/main">
          <x14:cfRule type="iconSet" priority="8" id="{3C69EBA0-36F8-4FB5-A58B-1F737EC9B6FA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G72:AR72</xm:sqref>
        </x14:conditionalFormatting>
        <x14:conditionalFormatting xmlns:xm="http://schemas.microsoft.com/office/excel/2006/main">
          <x14:cfRule type="iconSet" priority="7" id="{84D4D9FD-0BFC-46B1-8DDE-EFB20AD23A8E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G81:AR81</xm:sqref>
        </x14:conditionalFormatting>
        <x14:conditionalFormatting xmlns:xm="http://schemas.microsoft.com/office/excel/2006/main">
          <x14:cfRule type="iconSet" priority="6" id="{6E1A0A5D-7AD7-4BC0-8FE4-869198DED023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G89:AR89</xm:sqref>
        </x14:conditionalFormatting>
        <x14:conditionalFormatting xmlns:xm="http://schemas.microsoft.com/office/excel/2006/main">
          <x14:cfRule type="iconSet" priority="5" id="{09B1EC2E-D99E-4E81-A4A5-ACE9399CF676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G98:AR98</xm:sqref>
        </x14:conditionalFormatting>
        <x14:conditionalFormatting xmlns:xm="http://schemas.microsoft.com/office/excel/2006/main">
          <x14:cfRule type="iconSet" priority="4" id="{A685DF44-1FA4-4DF1-9C8A-EBA18923E340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G116:AR116</xm:sqref>
        </x14:conditionalFormatting>
        <x14:conditionalFormatting xmlns:xm="http://schemas.microsoft.com/office/excel/2006/main">
          <x14:cfRule type="iconSet" priority="3" id="{A8D10E90-2446-4CCE-AE5F-192FE76FCD37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G125:AR125</xm:sqref>
        </x14:conditionalFormatting>
        <x14:conditionalFormatting xmlns:xm="http://schemas.microsoft.com/office/excel/2006/main">
          <x14:cfRule type="iconSet" priority="2" id="{1EE0511C-B2E7-4D32-B477-A480AEFAE03D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G133:AR133</xm:sqref>
        </x14:conditionalFormatting>
        <x14:conditionalFormatting xmlns:xm="http://schemas.microsoft.com/office/excel/2006/main">
          <x14:cfRule type="iconSet" priority="1" id="{97AD18CC-897E-4906-8189-EF48669A11F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Arrows" iconId="2"/>
            </x14:iconSet>
          </x14:cfRule>
          <xm:sqref>G141:AR141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8F96-FA9F-4D22-9FD6-DEC906E8343E}">
  <sheetPr codeName="Sheet3"/>
  <dimension ref="B2:AQ85"/>
  <sheetViews>
    <sheetView tabSelected="1" zoomScale="110" workbookViewId="0">
      <pane xSplit="3" ySplit="5" topLeftCell="D15" activePane="bottomRight" state="frozen"/>
      <selection pane="topRight" activeCell="D1" sqref="D1"/>
      <selection pane="bottomLeft" activeCell="A6" sqref="A6"/>
      <selection pane="bottomRight" activeCell="F32" sqref="F32:J32"/>
    </sheetView>
  </sheetViews>
  <sheetFormatPr defaultRowHeight="14.5" x14ac:dyDescent="0.35"/>
  <cols>
    <col min="2" max="2" width="4.36328125" customWidth="1"/>
    <col min="3" max="3" width="17.453125" customWidth="1"/>
    <col min="4" max="4" width="10.08984375" style="1" bestFit="1" customWidth="1"/>
    <col min="5" max="20" width="10.08984375" bestFit="1" customWidth="1"/>
    <col min="21" max="24" width="9.1796875" bestFit="1" customWidth="1"/>
    <col min="25" max="25" width="10.08984375" bestFit="1" customWidth="1"/>
    <col min="26" max="43" width="9.1796875" bestFit="1" customWidth="1"/>
  </cols>
  <sheetData>
    <row r="2" spans="2:43" hidden="1" x14ac:dyDescent="0.35">
      <c r="D2">
        <v>56</v>
      </c>
      <c r="E2">
        <v>57</v>
      </c>
      <c r="F2" s="11">
        <f>+E2+1</f>
        <v>58</v>
      </c>
      <c r="G2" s="11">
        <f t="shared" ref="G2:AI2" si="0">+F2+1</f>
        <v>59</v>
      </c>
      <c r="H2" s="11">
        <f t="shared" si="0"/>
        <v>60</v>
      </c>
      <c r="I2" s="11">
        <f t="shared" si="0"/>
        <v>61</v>
      </c>
      <c r="J2" s="11">
        <f t="shared" si="0"/>
        <v>62</v>
      </c>
      <c r="K2" s="11">
        <f t="shared" si="0"/>
        <v>63</v>
      </c>
      <c r="L2" s="11">
        <f t="shared" si="0"/>
        <v>64</v>
      </c>
      <c r="M2" s="11">
        <f t="shared" si="0"/>
        <v>65</v>
      </c>
      <c r="N2" s="11">
        <f t="shared" si="0"/>
        <v>66</v>
      </c>
      <c r="O2" s="11">
        <f t="shared" si="0"/>
        <v>67</v>
      </c>
      <c r="P2" s="11">
        <f t="shared" si="0"/>
        <v>68</v>
      </c>
      <c r="Q2" s="11">
        <f t="shared" si="0"/>
        <v>69</v>
      </c>
      <c r="R2" s="11">
        <f t="shared" si="0"/>
        <v>70</v>
      </c>
      <c r="S2" s="11">
        <f t="shared" si="0"/>
        <v>71</v>
      </c>
      <c r="T2" s="11">
        <f t="shared" si="0"/>
        <v>72</v>
      </c>
      <c r="U2" s="11">
        <f t="shared" si="0"/>
        <v>73</v>
      </c>
      <c r="V2" s="11">
        <f t="shared" si="0"/>
        <v>74</v>
      </c>
      <c r="W2" s="11">
        <f t="shared" si="0"/>
        <v>75</v>
      </c>
      <c r="X2" s="11">
        <f t="shared" si="0"/>
        <v>76</v>
      </c>
      <c r="Y2" s="11">
        <f t="shared" si="0"/>
        <v>77</v>
      </c>
      <c r="Z2" s="11">
        <f t="shared" si="0"/>
        <v>78</v>
      </c>
      <c r="AA2" s="11">
        <f t="shared" si="0"/>
        <v>79</v>
      </c>
      <c r="AB2" s="11">
        <f t="shared" si="0"/>
        <v>80</v>
      </c>
      <c r="AC2" s="11">
        <f t="shared" si="0"/>
        <v>81</v>
      </c>
      <c r="AD2" s="11">
        <f t="shared" si="0"/>
        <v>82</v>
      </c>
      <c r="AE2" s="11">
        <f t="shared" si="0"/>
        <v>83</v>
      </c>
      <c r="AF2" s="11">
        <f t="shared" si="0"/>
        <v>84</v>
      </c>
      <c r="AG2" s="11">
        <f t="shared" si="0"/>
        <v>85</v>
      </c>
      <c r="AH2" s="11">
        <f t="shared" si="0"/>
        <v>86</v>
      </c>
      <c r="AI2" s="11">
        <f t="shared" si="0"/>
        <v>87</v>
      </c>
      <c r="AJ2" s="11">
        <f t="shared" ref="AJ2:AQ2" si="1">+AI2+1</f>
        <v>88</v>
      </c>
      <c r="AK2" s="11">
        <f t="shared" si="1"/>
        <v>89</v>
      </c>
      <c r="AL2" s="11">
        <f t="shared" si="1"/>
        <v>90</v>
      </c>
      <c r="AM2" s="11">
        <f t="shared" si="1"/>
        <v>91</v>
      </c>
      <c r="AN2" s="11">
        <f t="shared" si="1"/>
        <v>92</v>
      </c>
      <c r="AO2" s="11">
        <f t="shared" si="1"/>
        <v>93</v>
      </c>
      <c r="AP2" s="11">
        <f t="shared" si="1"/>
        <v>94</v>
      </c>
      <c r="AQ2" s="11">
        <f t="shared" si="1"/>
        <v>95</v>
      </c>
    </row>
    <row r="4" spans="2:43" x14ac:dyDescent="0.35">
      <c r="D4" s="132">
        <v>2023</v>
      </c>
      <c r="E4" s="133">
        <v>2024</v>
      </c>
      <c r="F4" s="11">
        <f>+E4+1</f>
        <v>2025</v>
      </c>
      <c r="G4" s="11">
        <f t="shared" ref="G4:L4" si="2">+F4+1</f>
        <v>2026</v>
      </c>
      <c r="H4" s="11">
        <f t="shared" si="2"/>
        <v>2027</v>
      </c>
      <c r="I4" s="11">
        <f t="shared" si="2"/>
        <v>2028</v>
      </c>
      <c r="J4" s="11">
        <f t="shared" si="2"/>
        <v>2029</v>
      </c>
      <c r="K4" s="11">
        <f t="shared" si="2"/>
        <v>2030</v>
      </c>
      <c r="L4" s="11">
        <f t="shared" si="2"/>
        <v>2031</v>
      </c>
      <c r="M4" s="11">
        <f t="shared" ref="M4:U4" si="3">+L4+1</f>
        <v>2032</v>
      </c>
      <c r="N4" s="11">
        <f t="shared" si="3"/>
        <v>2033</v>
      </c>
      <c r="O4" s="15">
        <f t="shared" si="3"/>
        <v>2034</v>
      </c>
      <c r="P4" s="11">
        <f t="shared" si="3"/>
        <v>2035</v>
      </c>
      <c r="Q4" s="11">
        <f t="shared" si="3"/>
        <v>2036</v>
      </c>
      <c r="R4" s="11">
        <f t="shared" si="3"/>
        <v>2037</v>
      </c>
      <c r="S4" s="11">
        <f t="shared" si="3"/>
        <v>2038</v>
      </c>
      <c r="T4" s="11">
        <f t="shared" si="3"/>
        <v>2039</v>
      </c>
      <c r="U4" s="11">
        <f t="shared" si="3"/>
        <v>2040</v>
      </c>
      <c r="V4" s="11">
        <f t="shared" ref="V4:AQ4" si="4">+U4+1</f>
        <v>2041</v>
      </c>
      <c r="W4" s="11">
        <f t="shared" si="4"/>
        <v>2042</v>
      </c>
      <c r="X4" s="11">
        <f t="shared" si="4"/>
        <v>2043</v>
      </c>
      <c r="Y4" s="15">
        <f t="shared" si="4"/>
        <v>2044</v>
      </c>
      <c r="Z4" s="11">
        <f t="shared" si="4"/>
        <v>2045</v>
      </c>
      <c r="AA4" s="11">
        <f t="shared" si="4"/>
        <v>2046</v>
      </c>
      <c r="AB4" s="11">
        <f t="shared" si="4"/>
        <v>2047</v>
      </c>
      <c r="AC4" s="11">
        <f t="shared" si="4"/>
        <v>2048</v>
      </c>
      <c r="AD4" s="11">
        <f t="shared" si="4"/>
        <v>2049</v>
      </c>
      <c r="AE4" s="11">
        <f t="shared" si="4"/>
        <v>2050</v>
      </c>
      <c r="AF4" s="11">
        <f t="shared" si="4"/>
        <v>2051</v>
      </c>
      <c r="AG4" s="11">
        <f t="shared" si="4"/>
        <v>2052</v>
      </c>
      <c r="AH4" s="11">
        <f t="shared" si="4"/>
        <v>2053</v>
      </c>
      <c r="AI4" s="15">
        <f t="shared" si="4"/>
        <v>2054</v>
      </c>
      <c r="AJ4" s="11">
        <f t="shared" si="4"/>
        <v>2055</v>
      </c>
      <c r="AK4" s="11">
        <f t="shared" si="4"/>
        <v>2056</v>
      </c>
      <c r="AL4" s="11">
        <f t="shared" si="4"/>
        <v>2057</v>
      </c>
      <c r="AM4" s="11">
        <f t="shared" si="4"/>
        <v>2058</v>
      </c>
      <c r="AN4" s="11">
        <f t="shared" si="4"/>
        <v>2059</v>
      </c>
      <c r="AO4" s="11">
        <f t="shared" si="4"/>
        <v>2060</v>
      </c>
      <c r="AP4" s="11">
        <f t="shared" si="4"/>
        <v>2061</v>
      </c>
      <c r="AQ4" s="11">
        <f t="shared" si="4"/>
        <v>2062</v>
      </c>
    </row>
    <row r="5" spans="2:43" x14ac:dyDescent="0.35">
      <c r="B5" s="14" t="s">
        <v>34</v>
      </c>
    </row>
    <row r="6" spans="2:43" s="2" customFormat="1" x14ac:dyDescent="0.35">
      <c r="C6" s="2" t="s">
        <v>39</v>
      </c>
      <c r="D6" s="147"/>
      <c r="E6" s="147">
        <f>+Inputs!F18</f>
        <v>147</v>
      </c>
      <c r="F6" s="2">
        <f>+Inputs!G18</f>
        <v>86.75507968625719</v>
      </c>
      <c r="G6" s="2">
        <f>+Inputs!H18</f>
        <v>45.461340265482519</v>
      </c>
      <c r="H6" s="2">
        <f>+Inputs!I18</f>
        <v>41.404769708803279</v>
      </c>
      <c r="I6" s="2">
        <f>+Inputs!J18</f>
        <v>33.781364353692844</v>
      </c>
      <c r="J6" s="2">
        <f>+Inputs!K18</f>
        <v>32.848640547706005</v>
      </c>
      <c r="K6" s="2">
        <f>+Inputs!L18</f>
        <v>38.02780069168012</v>
      </c>
      <c r="L6" s="2">
        <f>+Inputs!M18</f>
        <v>43.053867978436344</v>
      </c>
      <c r="M6" s="2">
        <f>+Inputs!N18</f>
        <v>39.078707650794499</v>
      </c>
      <c r="N6" s="2">
        <f>+Inputs!O18</f>
        <v>37.0716550224599</v>
      </c>
      <c r="O6" s="2">
        <f>+Inputs!P18</f>
        <v>34.73339946358216</v>
      </c>
      <c r="P6" s="2">
        <f>+Inputs!Q18</f>
        <v>47.39916412780223</v>
      </c>
      <c r="Q6" s="2">
        <f>+Inputs!R18</f>
        <v>136.77560194626039</v>
      </c>
      <c r="R6" s="2">
        <f>+Inputs!S18</f>
        <v>184.96501768552008</v>
      </c>
      <c r="S6" s="2">
        <f>+Inputs!T18</f>
        <v>155.04378457811566</v>
      </c>
      <c r="T6" s="2">
        <f>+Inputs!U18</f>
        <v>147.00946044454071</v>
      </c>
      <c r="U6" s="2">
        <f>+Inputs!V18</f>
        <v>138.5570454523118</v>
      </c>
      <c r="V6" s="2">
        <f>+Inputs!W18</f>
        <v>127.64485973768625</v>
      </c>
      <c r="W6" s="2">
        <f>+Inputs!X18</f>
        <v>115.22750383198326</v>
      </c>
      <c r="X6" s="2">
        <f>+Inputs!Y18</f>
        <v>103.3370709703015</v>
      </c>
      <c r="Y6" s="2">
        <f>+Inputs!Z18</f>
        <v>107.14575604203525</v>
      </c>
      <c r="Z6" s="2">
        <f>+Inputs!AA18</f>
        <v>110.91216810030305</v>
      </c>
      <c r="AA6" s="2">
        <f>+Inputs!AB18</f>
        <v>95.893703247551286</v>
      </c>
      <c r="AB6" s="2">
        <f>+Inputs!AC18</f>
        <v>81.00353130271921</v>
      </c>
      <c r="AC6" s="2">
        <f>+Inputs!AD18</f>
        <v>69.138738094616798</v>
      </c>
      <c r="AD6" s="2">
        <f>+Inputs!AE18</f>
        <v>56.26883209763907</v>
      </c>
      <c r="AE6" s="2">
        <f>+Inputs!AF18</f>
        <v>42.839124763399006</v>
      </c>
      <c r="AF6" s="2">
        <f>+Inputs!AG18</f>
        <v>28.818257508019691</v>
      </c>
      <c r="AG6" s="2">
        <f>+Inputs!AH18</f>
        <v>32.88271794600859</v>
      </c>
      <c r="AH6" s="2">
        <f>+Inputs!AI18</f>
        <v>39.087036208488662</v>
      </c>
      <c r="AI6" s="2">
        <f>+Inputs!AJ18</f>
        <v>25.574967430659331</v>
      </c>
      <c r="AJ6" s="2">
        <f>+Inputs!AK18</f>
        <v>17.501940307460011</v>
      </c>
      <c r="AK6" s="2">
        <f>+Inputs!AL18</f>
        <v>11.777240033789139</v>
      </c>
      <c r="AL6" s="2">
        <f>+Inputs!AM18</f>
        <v>-0.96849425280358226</v>
      </c>
      <c r="AM6" s="2">
        <f>+Inputs!AN18</f>
        <v>12.483064029645258</v>
      </c>
      <c r="AN6" s="2">
        <f>+Inputs!AO18</f>
        <v>26.007836004444041</v>
      </c>
      <c r="AO6" s="2">
        <f>+Inputs!AP18</f>
        <v>28.899107468969721</v>
      </c>
      <c r="AP6" s="2">
        <f>+Inputs!AQ18</f>
        <v>31.315598891120224</v>
      </c>
      <c r="AQ6" s="2">
        <f>+Inputs!AR18</f>
        <v>16.50917555551402</v>
      </c>
    </row>
    <row r="7" spans="2:43" s="2" customFormat="1" x14ac:dyDescent="0.35">
      <c r="C7" s="2" t="s">
        <v>40</v>
      </c>
      <c r="D7" s="147"/>
      <c r="E7" s="147">
        <f>+Inputs!F29</f>
        <v>37</v>
      </c>
      <c r="F7" s="2">
        <f>+Inputs!G29</f>
        <v>31.534125000000007</v>
      </c>
      <c r="G7" s="2">
        <f>+Inputs!H29</f>
        <v>23.506382812500007</v>
      </c>
      <c r="H7" s="2">
        <f>+Inputs!I29</f>
        <v>20.164234737304689</v>
      </c>
      <c r="I7" s="2">
        <f>+Inputs!J29</f>
        <v>16.946760660703124</v>
      </c>
      <c r="J7" s="2">
        <f>+Inputs!K29</f>
        <v>17.455163480524217</v>
      </c>
      <c r="K7" s="2">
        <f>+Inputs!L29</f>
        <v>17.978818384939949</v>
      </c>
      <c r="L7" s="2">
        <f>+Inputs!M29</f>
        <v>18.518182936488149</v>
      </c>
      <c r="M7" s="2">
        <f>+Inputs!N29</f>
        <v>19.073728424582789</v>
      </c>
      <c r="N7" s="2">
        <f>+Inputs!O29</f>
        <v>19.645940277320275</v>
      </c>
      <c r="O7" s="2">
        <f>+Inputs!P29</f>
        <v>20.235318485639883</v>
      </c>
      <c r="P7" s="2">
        <f>+Inputs!Q29</f>
        <v>20.842378040209077</v>
      </c>
      <c r="Q7" s="2">
        <f>+Inputs!R29</f>
        <v>21.467649381415352</v>
      </c>
      <c r="R7" s="2">
        <f>+Inputs!S29</f>
        <v>22.111678862857811</v>
      </c>
      <c r="S7" s="2">
        <f>+Inputs!T29</f>
        <v>22.775029228743545</v>
      </c>
      <c r="T7" s="2">
        <f>+Inputs!U29</f>
        <v>23.458280105605851</v>
      </c>
      <c r="U7" s="2">
        <f>+Inputs!V29</f>
        <v>24.162028508774032</v>
      </c>
      <c r="V7" s="2">
        <f>+Inputs!W29</f>
        <v>24.886889364037252</v>
      </c>
      <c r="W7" s="2">
        <f>+Inputs!X29</f>
        <v>25.63349604495837</v>
      </c>
      <c r="X7" s="2">
        <f>+Inputs!Y29</f>
        <v>26.402500926307123</v>
      </c>
      <c r="Y7" s="2">
        <f>+Inputs!Z29</f>
        <v>27.194575954096337</v>
      </c>
      <c r="Z7" s="2">
        <f>+Inputs!AA29</f>
        <v>28.01041323271923</v>
      </c>
      <c r="AA7" s="2">
        <f>+Inputs!AB29</f>
        <v>28.850725629700808</v>
      </c>
      <c r="AB7" s="2">
        <f>+Inputs!AC29</f>
        <v>29.716247398591829</v>
      </c>
      <c r="AC7" s="2">
        <f>+Inputs!AD29</f>
        <v>30.607734820549588</v>
      </c>
      <c r="AD7" s="2">
        <f>+Inputs!AE29</f>
        <v>31.525966865166076</v>
      </c>
      <c r="AE7" s="2">
        <f>+Inputs!AF29</f>
        <v>32.471745871121058</v>
      </c>
      <c r="AF7" s="2">
        <f>+Inputs!AG29</f>
        <v>33.445898247254689</v>
      </c>
      <c r="AG7" s="2">
        <f>+Inputs!AH29</f>
        <v>34.449275194672332</v>
      </c>
      <c r="AH7" s="2">
        <f>+Inputs!AI29</f>
        <v>35.482753450512512</v>
      </c>
      <c r="AI7" s="2">
        <f>+Inputs!AJ29</f>
        <v>36.547236054027884</v>
      </c>
      <c r="AJ7" s="2">
        <f>+Inputs!AK29</f>
        <v>33.781153135648722</v>
      </c>
      <c r="AK7" s="2">
        <f>+Inputs!AL29</f>
        <v>30.932087729718187</v>
      </c>
      <c r="AL7" s="2">
        <f>+Inputs!AM29</f>
        <v>31.860050361609733</v>
      </c>
      <c r="AM7" s="2">
        <f>+Inputs!AN29</f>
        <v>29.725851872458023</v>
      </c>
      <c r="AN7" s="2">
        <f>+Inputs!AO29</f>
        <v>27.527627428631767</v>
      </c>
      <c r="AO7" s="2">
        <f>+Inputs!AP29</f>
        <v>13.967219828320552</v>
      </c>
      <c r="AP7" s="2">
        <f>+Inputs!AQ29</f>
        <v>0</v>
      </c>
      <c r="AQ7" s="2">
        <f>+Inputs!AR29</f>
        <v>0</v>
      </c>
    </row>
    <row r="8" spans="2:43" s="2" customFormat="1" x14ac:dyDescent="0.35">
      <c r="C8" s="2" t="s">
        <v>96</v>
      </c>
      <c r="D8" s="147"/>
      <c r="E8" s="147">
        <f>+Inputs!E185</f>
        <v>162</v>
      </c>
      <c r="F8" s="2">
        <f>+Inputs!F185</f>
        <v>0</v>
      </c>
      <c r="G8" s="2">
        <f>+Inputs!G185</f>
        <v>0</v>
      </c>
      <c r="H8" s="2">
        <f>+Inputs!H185</f>
        <v>0</v>
      </c>
      <c r="I8" s="2">
        <f>+Inputs!I185</f>
        <v>0</v>
      </c>
      <c r="J8" s="2">
        <f>+Inputs!J185</f>
        <v>0</v>
      </c>
      <c r="K8" s="2">
        <f>+Inputs!K185</f>
        <v>0</v>
      </c>
      <c r="L8" s="2">
        <f>+Inputs!L185</f>
        <v>0</v>
      </c>
      <c r="M8" s="2">
        <f>+Inputs!M185</f>
        <v>0</v>
      </c>
      <c r="N8" s="2">
        <f>+Inputs!N185</f>
        <v>0</v>
      </c>
      <c r="O8" s="2">
        <f>+Inputs!O185</f>
        <v>0</v>
      </c>
      <c r="P8" s="2">
        <f>+Inputs!P185</f>
        <v>23</v>
      </c>
      <c r="Q8" s="2">
        <f>+Inputs!Q185</f>
        <v>23</v>
      </c>
      <c r="R8" s="2">
        <f>+Inputs!R185</f>
        <v>23</v>
      </c>
      <c r="S8" s="2">
        <f>+Inputs!S185</f>
        <v>23</v>
      </c>
      <c r="T8" s="2">
        <f>+Inputs!T185</f>
        <v>23</v>
      </c>
      <c r="U8" s="2">
        <f>+Inputs!U185</f>
        <v>23</v>
      </c>
      <c r="V8" s="2">
        <f>+Inputs!V185</f>
        <v>23</v>
      </c>
      <c r="W8" s="2">
        <f>+Inputs!W185</f>
        <v>23</v>
      </c>
      <c r="X8" s="2">
        <f>+Inputs!X185</f>
        <v>23</v>
      </c>
      <c r="Y8" s="2">
        <f>+Inputs!Y185</f>
        <v>23</v>
      </c>
      <c r="Z8" s="2">
        <f>+Inputs!Z185</f>
        <v>23</v>
      </c>
      <c r="AA8" s="2">
        <f>+Inputs!AA185</f>
        <v>23</v>
      </c>
      <c r="AB8" s="2">
        <f>+Inputs!AB185</f>
        <v>23</v>
      </c>
      <c r="AC8" s="2">
        <f>+Inputs!AC185</f>
        <v>23</v>
      </c>
      <c r="AD8" s="2">
        <f>+Inputs!AD185</f>
        <v>23</v>
      </c>
      <c r="AE8" s="2">
        <f>+Inputs!AE185</f>
        <v>23</v>
      </c>
      <c r="AF8" s="2">
        <f>+Inputs!AF185</f>
        <v>23</v>
      </c>
      <c r="AG8" s="2">
        <f>+Inputs!AG185</f>
        <v>23</v>
      </c>
      <c r="AH8" s="2">
        <f>+Inputs!AH185</f>
        <v>23</v>
      </c>
      <c r="AI8" s="2">
        <f>+Inputs!AI185</f>
        <v>23</v>
      </c>
      <c r="AJ8" s="2">
        <f>+Inputs!AJ185</f>
        <v>23</v>
      </c>
      <c r="AK8" s="2">
        <f>+Inputs!AK185</f>
        <v>23</v>
      </c>
      <c r="AL8" s="2">
        <f>+Inputs!AL185</f>
        <v>23</v>
      </c>
      <c r="AM8" s="2">
        <f>+Inputs!AM185</f>
        <v>23</v>
      </c>
      <c r="AN8" s="2">
        <f>+Inputs!AN185</f>
        <v>23</v>
      </c>
      <c r="AO8" s="2">
        <f>+Inputs!AO185</f>
        <v>23</v>
      </c>
      <c r="AP8" s="2">
        <f>+Inputs!AP185</f>
        <v>23</v>
      </c>
      <c r="AQ8" s="2">
        <f>+Inputs!AQ185</f>
        <v>23</v>
      </c>
    </row>
    <row r="9" spans="2:43" s="2" customFormat="1" x14ac:dyDescent="0.35">
      <c r="C9" s="2" t="s">
        <v>41</v>
      </c>
      <c r="D9" s="147"/>
      <c r="E9" s="147">
        <f>+Inputs!F65/Inputs!F3</f>
        <v>593.75</v>
      </c>
      <c r="F9" s="2">
        <f>+Inputs!G65/Inputs!G3</f>
        <v>190.13157894736844</v>
      </c>
      <c r="G9" s="2">
        <f>+Inputs!H65/Inputs!H3</f>
        <v>186.08326171874998</v>
      </c>
      <c r="H9" s="2">
        <f>+Inputs!I65/Inputs!I3</f>
        <v>190.52890714324946</v>
      </c>
      <c r="I9" s="2">
        <f>+Inputs!J65/Inputs!J3</f>
        <v>194.59908092209713</v>
      </c>
      <c r="J9" s="2">
        <f>+Inputs!K65/Inputs!K3</f>
        <v>198.51052244863126</v>
      </c>
      <c r="K9" s="2">
        <f>+Inputs!L65/Inputs!L3</f>
        <v>202.50058394984873</v>
      </c>
      <c r="L9" s="2">
        <f>+Inputs!M65/Inputs!M3</f>
        <v>206.57084568724068</v>
      </c>
      <c r="M9" s="2">
        <f>+Inputs!N65/Inputs!N3</f>
        <v>210.72291968555419</v>
      </c>
      <c r="N9" s="2">
        <f>+Inputs!O65/Inputs!O3</f>
        <v>214.95845037123382</v>
      </c>
      <c r="O9" s="2">
        <f>+Inputs!P65/Inputs!P3</f>
        <v>219.27911522369567</v>
      </c>
      <c r="P9" s="2">
        <f>+Inputs!Q65/Inputs!Q3</f>
        <v>223.68662543969199</v>
      </c>
      <c r="Q9" s="2">
        <f>+Inputs!R65/Inputs!R3</f>
        <v>0</v>
      </c>
      <c r="R9" s="2">
        <f>+Inputs!S65/Inputs!S3</f>
        <v>0</v>
      </c>
      <c r="S9" s="2">
        <f>+Inputs!T65/Inputs!T3</f>
        <v>0</v>
      </c>
      <c r="T9" s="2">
        <f>+Inputs!U65/Inputs!U3</f>
        <v>0</v>
      </c>
      <c r="U9" s="2">
        <f>+Inputs!V65/Inputs!V3</f>
        <v>0</v>
      </c>
      <c r="V9" s="2">
        <f>+Inputs!W65/Inputs!W3</f>
        <v>0</v>
      </c>
      <c r="W9" s="2">
        <f>+Inputs!X65/Inputs!X3</f>
        <v>0</v>
      </c>
      <c r="X9" s="2">
        <f>+Inputs!Y65/Inputs!Y3</f>
        <v>0</v>
      </c>
      <c r="Y9" s="2">
        <f>+Inputs!Z65/Inputs!Z3</f>
        <v>0</v>
      </c>
      <c r="Z9" s="2">
        <f>+Inputs!AA65/Inputs!AA3</f>
        <v>0</v>
      </c>
      <c r="AA9" s="2">
        <f>+Inputs!AB65/Inputs!AB3</f>
        <v>0</v>
      </c>
      <c r="AB9" s="2">
        <f>+Inputs!AC65/Inputs!AC3</f>
        <v>0</v>
      </c>
      <c r="AC9" s="2">
        <f>+Inputs!AD65/Inputs!AD3</f>
        <v>0</v>
      </c>
      <c r="AD9" s="2">
        <f>+Inputs!AE65/Inputs!AE3</f>
        <v>0</v>
      </c>
      <c r="AE9" s="2">
        <f>+Inputs!AF65/Inputs!AF3</f>
        <v>0</v>
      </c>
      <c r="AF9" s="2">
        <f>+Inputs!AG65/Inputs!AG3</f>
        <v>0</v>
      </c>
      <c r="AG9" s="2">
        <f>+Inputs!AH65/Inputs!AH3</f>
        <v>0</v>
      </c>
      <c r="AH9" s="2">
        <f>+Inputs!AI65/Inputs!AI3</f>
        <v>0</v>
      </c>
      <c r="AI9" s="2">
        <f>+Inputs!AJ65/Inputs!AJ3</f>
        <v>0</v>
      </c>
      <c r="AJ9" s="2">
        <f>+Inputs!AK65/Inputs!AK3</f>
        <v>0</v>
      </c>
      <c r="AK9" s="2">
        <f>+Inputs!AL65/Inputs!AL3</f>
        <v>0</v>
      </c>
      <c r="AL9" s="2">
        <f>+Inputs!AM65/Inputs!AM3</f>
        <v>0</v>
      </c>
      <c r="AM9" s="2">
        <f>+Inputs!AN65/Inputs!AN3</f>
        <v>0</v>
      </c>
      <c r="AN9" s="2">
        <f>+Inputs!AO65/Inputs!AO3</f>
        <v>0</v>
      </c>
      <c r="AO9" s="2">
        <f>+Inputs!AP65/Inputs!AP3</f>
        <v>0</v>
      </c>
      <c r="AP9" s="2">
        <f>+Inputs!AQ65/Inputs!AQ3</f>
        <v>0</v>
      </c>
      <c r="AQ9" s="2">
        <f>+Inputs!AR65/Inputs!AR3</f>
        <v>0</v>
      </c>
    </row>
    <row r="10" spans="2:43" s="2" customFormat="1" x14ac:dyDescent="0.35">
      <c r="C10" s="2" t="s">
        <v>110</v>
      </c>
      <c r="D10" s="147"/>
      <c r="E10" s="147">
        <f>+Inputs!F55/Inputs!F3</f>
        <v>0</v>
      </c>
      <c r="F10" s="2">
        <f>+Inputs!G55/Inputs!G3</f>
        <v>0</v>
      </c>
      <c r="G10" s="2">
        <f>+Inputs!H55/Inputs!H3</f>
        <v>0</v>
      </c>
      <c r="H10" s="2">
        <f>+Inputs!I55/Inputs!I3</f>
        <v>0</v>
      </c>
      <c r="I10" s="2">
        <f>+Inputs!J55/Inputs!J3</f>
        <v>0</v>
      </c>
      <c r="J10" s="2">
        <f>+Inputs!K55/Inputs!K3</f>
        <v>0</v>
      </c>
      <c r="K10" s="2">
        <f>+Inputs!L55/Inputs!L3</f>
        <v>0</v>
      </c>
      <c r="L10" s="2">
        <f>+Inputs!M55/Inputs!M3</f>
        <v>0</v>
      </c>
      <c r="M10" s="2">
        <f>+Inputs!N55/Inputs!N3</f>
        <v>0</v>
      </c>
      <c r="N10" s="2">
        <f>+Inputs!O55/Inputs!O3</f>
        <v>0</v>
      </c>
      <c r="O10" s="2">
        <f>+Inputs!P55/Inputs!P3</f>
        <v>0</v>
      </c>
      <c r="P10" s="2">
        <f>+Inputs!Q55/Inputs!Q3</f>
        <v>0</v>
      </c>
      <c r="Q10" s="2">
        <f>+Inputs!R55/Inputs!R3</f>
        <v>0</v>
      </c>
      <c r="R10" s="2">
        <f>+Inputs!S55/Inputs!S3</f>
        <v>0</v>
      </c>
      <c r="S10" s="2">
        <f>+Inputs!T55/Inputs!T3</f>
        <v>0</v>
      </c>
      <c r="T10" s="2">
        <f>+Inputs!U55/Inputs!U3</f>
        <v>0</v>
      </c>
      <c r="U10" s="2">
        <f>+Inputs!V55/Inputs!V3</f>
        <v>0</v>
      </c>
      <c r="V10" s="2">
        <f>+Inputs!W55/Inputs!W3</f>
        <v>0</v>
      </c>
      <c r="W10" s="2">
        <f>+Inputs!X55/Inputs!X3</f>
        <v>0</v>
      </c>
      <c r="X10" s="2">
        <f>+Inputs!Y55/Inputs!Y3</f>
        <v>0</v>
      </c>
      <c r="Y10" s="2">
        <f>+Inputs!Z55/Inputs!Z3</f>
        <v>0</v>
      </c>
      <c r="Z10" s="2">
        <f>+Inputs!AA55/Inputs!AA3</f>
        <v>0</v>
      </c>
      <c r="AA10" s="2">
        <f>+Inputs!AB55/Inputs!AB3</f>
        <v>0</v>
      </c>
      <c r="AB10" s="2">
        <f>+Inputs!AC55/Inputs!AC3</f>
        <v>0</v>
      </c>
      <c r="AC10" s="2">
        <f>+Inputs!AD55/Inputs!AD3</f>
        <v>0</v>
      </c>
      <c r="AD10" s="2">
        <f>+Inputs!AE55/Inputs!AE3</f>
        <v>0</v>
      </c>
      <c r="AE10" s="2">
        <f>+Inputs!AF55/Inputs!AF3</f>
        <v>0</v>
      </c>
      <c r="AF10" s="2">
        <f>+Inputs!AG55/Inputs!AG3</f>
        <v>0</v>
      </c>
      <c r="AG10" s="2">
        <f>+Inputs!AH55/Inputs!AH3</f>
        <v>0</v>
      </c>
      <c r="AH10" s="2">
        <f>+Inputs!AI55/Inputs!AI3</f>
        <v>0</v>
      </c>
      <c r="AI10" s="2">
        <f>+Inputs!AJ55/Inputs!AJ3</f>
        <v>0</v>
      </c>
      <c r="AJ10" s="2">
        <f>+Inputs!AK55/Inputs!AK3</f>
        <v>0</v>
      </c>
      <c r="AK10" s="2">
        <f>+Inputs!AL55/Inputs!AL3</f>
        <v>0</v>
      </c>
      <c r="AL10" s="2">
        <f>+Inputs!AM55/Inputs!AM3</f>
        <v>0</v>
      </c>
      <c r="AM10" s="2">
        <f>+Inputs!AN55/Inputs!AN3</f>
        <v>0</v>
      </c>
      <c r="AN10" s="2">
        <f>+Inputs!AO55/Inputs!AO3</f>
        <v>0</v>
      </c>
      <c r="AO10" s="2">
        <f>+Inputs!AP55/Inputs!AP3</f>
        <v>0</v>
      </c>
      <c r="AP10" s="2">
        <f>+Inputs!AQ55/Inputs!AQ3</f>
        <v>0</v>
      </c>
      <c r="AQ10" s="2">
        <f>+Inputs!AR55/Inputs!AR3</f>
        <v>0</v>
      </c>
    </row>
    <row r="11" spans="2:43" s="2" customFormat="1" x14ac:dyDescent="0.35">
      <c r="C11" s="2" t="s">
        <v>104</v>
      </c>
      <c r="D11" s="147"/>
      <c r="E11" s="147">
        <f>+Inputs!F119/Inputs!F3</f>
        <v>0</v>
      </c>
      <c r="F11" s="2">
        <f>+Inputs!G119/Inputs!G3</f>
        <v>0</v>
      </c>
      <c r="G11" s="2">
        <f>+Inputs!H119/Inputs!H3</f>
        <v>54.375</v>
      </c>
      <c r="H11" s="2">
        <f>+Inputs!I119/Inputs!I3</f>
        <v>72.5</v>
      </c>
      <c r="I11" s="2">
        <f>+Inputs!J119/Inputs!J3</f>
        <v>73.95</v>
      </c>
      <c r="J11" s="2">
        <f>+Inputs!K119/Inputs!K3</f>
        <v>75.429000000000002</v>
      </c>
      <c r="K11" s="2">
        <f>+Inputs!L119/Inputs!L3</f>
        <v>76.937579999999997</v>
      </c>
      <c r="L11" s="2">
        <f>+Inputs!M119/Inputs!M3</f>
        <v>78.476331599999995</v>
      </c>
      <c r="M11" s="2">
        <f>+Inputs!N119/Inputs!N3</f>
        <v>80.045858232</v>
      </c>
      <c r="N11" s="2">
        <f>+Inputs!O119/Inputs!O3</f>
        <v>81.646775396639995</v>
      </c>
      <c r="O11" s="2">
        <f>+Inputs!P119/Inputs!P3</f>
        <v>83.279710904572795</v>
      </c>
      <c r="P11" s="2">
        <f>+Inputs!Q119/Inputs!Q3</f>
        <v>42.472652561332126</v>
      </c>
      <c r="Q11" s="2">
        <f>+Inputs!R119/Inputs!R3</f>
        <v>0</v>
      </c>
      <c r="R11" s="2">
        <f>+Inputs!S119/Inputs!S3</f>
        <v>0</v>
      </c>
      <c r="S11" s="2">
        <f>+Inputs!T119/Inputs!T3</f>
        <v>0</v>
      </c>
      <c r="T11" s="2">
        <f>+Inputs!U119/Inputs!U3</f>
        <v>0</v>
      </c>
      <c r="U11" s="2">
        <f>+Inputs!V119/Inputs!V3</f>
        <v>0</v>
      </c>
      <c r="V11" s="2">
        <f>+Inputs!W119/Inputs!W3</f>
        <v>0</v>
      </c>
      <c r="W11" s="2">
        <f>+Inputs!X119/Inputs!X3</f>
        <v>0</v>
      </c>
      <c r="X11" s="2">
        <f>+Inputs!Y119/Inputs!Y3</f>
        <v>0</v>
      </c>
      <c r="Y11" s="2">
        <f>+Inputs!Z119/Inputs!Z3</f>
        <v>0</v>
      </c>
      <c r="Z11" s="2">
        <f>+Inputs!AA119/Inputs!AA3</f>
        <v>0</v>
      </c>
      <c r="AA11" s="2">
        <f>+Inputs!AB119/Inputs!AB3</f>
        <v>0</v>
      </c>
      <c r="AB11" s="2">
        <f>+Inputs!AC119/Inputs!AC3</f>
        <v>0</v>
      </c>
      <c r="AC11" s="2">
        <f>+Inputs!AD119/Inputs!AD3</f>
        <v>0</v>
      </c>
      <c r="AD11" s="2">
        <f>+Inputs!AE119/Inputs!AE3</f>
        <v>0</v>
      </c>
      <c r="AE11" s="2">
        <f>+Inputs!AF119/Inputs!AF3</f>
        <v>0</v>
      </c>
      <c r="AF11" s="2">
        <f>+Inputs!AG119/Inputs!AG3</f>
        <v>0</v>
      </c>
      <c r="AG11" s="2">
        <f>+Inputs!AH119/Inputs!AH3</f>
        <v>0</v>
      </c>
      <c r="AH11" s="2">
        <f>+Inputs!AI119/Inputs!AI3</f>
        <v>0</v>
      </c>
      <c r="AI11" s="2">
        <f>+Inputs!AJ119/Inputs!AJ3</f>
        <v>0</v>
      </c>
      <c r="AJ11" s="2">
        <f>+Inputs!AK119/Inputs!AK3</f>
        <v>0</v>
      </c>
      <c r="AK11" s="2">
        <f>+Inputs!AL119/Inputs!AL3</f>
        <v>0</v>
      </c>
      <c r="AL11" s="2">
        <f>+Inputs!AM119/Inputs!AM3</f>
        <v>0</v>
      </c>
      <c r="AM11" s="2">
        <f>+Inputs!AN119/Inputs!AN3</f>
        <v>0</v>
      </c>
      <c r="AN11" s="2">
        <f>+Inputs!AO119/Inputs!AO3</f>
        <v>0</v>
      </c>
      <c r="AO11" s="2">
        <f>+Inputs!AP119/Inputs!AP3</f>
        <v>0</v>
      </c>
      <c r="AP11" s="2">
        <f>+Inputs!AQ119/Inputs!AQ3</f>
        <v>0</v>
      </c>
      <c r="AQ11" s="2">
        <f>+Inputs!AR119/Inputs!AR3</f>
        <v>0</v>
      </c>
    </row>
    <row r="12" spans="2:43" s="2" customFormat="1" x14ac:dyDescent="0.35">
      <c r="C12" s="2" t="s">
        <v>16</v>
      </c>
      <c r="D12" s="147"/>
      <c r="E12" s="147">
        <f>+(+Inputs!F76+Inputs!F93)*Inputs!F4</f>
        <v>21.262499999999999</v>
      </c>
      <c r="F12" s="2">
        <f>+(+Inputs!G76+Inputs!G93)*Inputs!G4+Inputs!G110</f>
        <v>24.219000000000001</v>
      </c>
      <c r="G12" s="2">
        <f>+(+Inputs!H76+Inputs!H93)*Inputs!H4+Inputs!H110</f>
        <v>0</v>
      </c>
      <c r="H12" s="2">
        <f>+(+Inputs!I76+Inputs!I93)*Inputs!I4+Inputs!I110</f>
        <v>25</v>
      </c>
      <c r="I12" s="2">
        <f>+(+Inputs!J76+Inputs!J93)*Inputs!J4+Inputs!J110</f>
        <v>25.5625</v>
      </c>
      <c r="J12" s="2">
        <f>+(+Inputs!K76+Inputs!K93)*Inputs!K4+Inputs!K110</f>
        <v>26.07375</v>
      </c>
      <c r="K12" s="2">
        <f>+(+Inputs!L76+Inputs!L93)*Inputs!L4+Inputs!L110</f>
        <v>26.595224999999999</v>
      </c>
      <c r="L12" s="2">
        <f>+(+Inputs!M76+Inputs!M93)*Inputs!M4+Inputs!M110</f>
        <v>27.127129499999999</v>
      </c>
      <c r="M12" s="2">
        <f>+(+Inputs!N76+Inputs!N93)*Inputs!N4+Inputs!N110</f>
        <v>27.669672089999999</v>
      </c>
      <c r="N12" s="2">
        <f>+(+Inputs!O76+Inputs!O93)*Inputs!O4+Inputs!O110</f>
        <v>28.2230655318</v>
      </c>
      <c r="O12" s="2">
        <f>+(+Inputs!P76+Inputs!P93)*Inputs!P4+Inputs!P110</f>
        <v>28.787526842436002</v>
      </c>
      <c r="P12" s="2">
        <f>+(+Inputs!Q76+Inputs!Q93)*Inputs!Q4+Inputs!Q110</f>
        <v>29.363277379284721</v>
      </c>
      <c r="Q12" s="2">
        <f>+(+Inputs!R76+Inputs!R93)*Inputs!R4+Inputs!R110</f>
        <v>29.950542926870416</v>
      </c>
      <c r="R12" s="2">
        <f>+(+Inputs!S76+Inputs!S93)*Inputs!S4+Inputs!S110</f>
        <v>30.549553785407824</v>
      </c>
      <c r="S12" s="2">
        <f>+(+Inputs!T76+Inputs!T93)*Inputs!T4+Inputs!T110</f>
        <v>31.16054486111598</v>
      </c>
      <c r="T12" s="2">
        <f>+(+Inputs!U76+Inputs!U93)*Inputs!U4+Inputs!U110</f>
        <v>31.783755758338302</v>
      </c>
      <c r="U12" s="2">
        <f>+(+Inputs!V76+Inputs!V93)*Inputs!V4+Inputs!V110</f>
        <v>32.419430873505071</v>
      </c>
      <c r="V12" s="2">
        <f>+(+Inputs!W76+Inputs!W93)*Inputs!W4+Inputs!W110</f>
        <v>33.067819490975175</v>
      </c>
      <c r="W12" s="2">
        <f>+(+Inputs!X76+Inputs!X93)*Inputs!X4+Inputs!X110</f>
        <v>33.729175880794678</v>
      </c>
      <c r="X12" s="2">
        <f>+(+Inputs!Y76+Inputs!Y93)*Inputs!Y4+Inputs!Y110</f>
        <v>34.403759398410571</v>
      </c>
      <c r="Y12" s="2">
        <f>+(+Inputs!Z76+Inputs!Z93)*Inputs!Z4+Inputs!Z110</f>
        <v>0</v>
      </c>
      <c r="Z12" s="2">
        <f>+(+Inputs!AA76+Inputs!AA93)*Inputs!AA4+Inputs!AA110</f>
        <v>0</v>
      </c>
      <c r="AA12" s="2">
        <f>+(+Inputs!AB76+Inputs!AB93)*Inputs!AB4+Inputs!AB110</f>
        <v>0</v>
      </c>
      <c r="AB12" s="2">
        <f>+(+Inputs!AC76+Inputs!AC93)*Inputs!AC4+Inputs!AC110</f>
        <v>0</v>
      </c>
      <c r="AC12" s="2">
        <f>+(+Inputs!AD76+Inputs!AD93)*Inputs!AD4+Inputs!AD110</f>
        <v>0</v>
      </c>
      <c r="AD12" s="2">
        <f>+(+Inputs!AE76+Inputs!AE93)*Inputs!AE4+Inputs!AE110</f>
        <v>0</v>
      </c>
      <c r="AE12" s="2">
        <f>+(+Inputs!AF76+Inputs!AF93)*Inputs!AF4+Inputs!AF110</f>
        <v>0</v>
      </c>
      <c r="AF12" s="2">
        <f>+(+Inputs!AG76+Inputs!AG93)*Inputs!AG4+Inputs!AG110</f>
        <v>0</v>
      </c>
      <c r="AG12" s="2">
        <f>+(+Inputs!AH76+Inputs!AH93)*Inputs!AH4+Inputs!AH110</f>
        <v>0</v>
      </c>
      <c r="AH12" s="2">
        <f>+(+Inputs!AI76+Inputs!AI93)*Inputs!AI4+Inputs!AI110</f>
        <v>0</v>
      </c>
      <c r="AI12" s="2">
        <f>+(+Inputs!AJ76+Inputs!AJ93)*Inputs!AJ4+Inputs!AJ110</f>
        <v>0</v>
      </c>
      <c r="AJ12" s="2">
        <f>+(+Inputs!AK76+Inputs!AK93)*Inputs!AK4+Inputs!AK110</f>
        <v>0</v>
      </c>
      <c r="AK12" s="2">
        <f>+(+Inputs!AL76+Inputs!AL93)*Inputs!AL4+Inputs!AL110</f>
        <v>0</v>
      </c>
      <c r="AL12" s="2">
        <f>+(+Inputs!AM76+Inputs!AM93)*Inputs!AM4+Inputs!AM110</f>
        <v>0</v>
      </c>
      <c r="AM12" s="2">
        <f>+(+Inputs!AN76+Inputs!AN93)*Inputs!AN4+Inputs!AN110</f>
        <v>0</v>
      </c>
      <c r="AN12" s="2">
        <f>+(+Inputs!AO76+Inputs!AO93)*Inputs!AO4+Inputs!AO110</f>
        <v>0</v>
      </c>
      <c r="AO12" s="2">
        <f>+(+Inputs!AP76+Inputs!AP93)*Inputs!AP4+Inputs!AP110</f>
        <v>0</v>
      </c>
      <c r="AP12" s="2">
        <f>+(+Inputs!AQ76+Inputs!AQ93)*Inputs!AQ4+Inputs!AQ110</f>
        <v>0</v>
      </c>
      <c r="AQ12" s="2">
        <f>+(+Inputs!AR76+Inputs!AR93)*Inputs!AR4+Inputs!AR110</f>
        <v>0</v>
      </c>
    </row>
    <row r="13" spans="2:43" s="2" customFormat="1" x14ac:dyDescent="0.35">
      <c r="C13" s="2" t="s">
        <v>74</v>
      </c>
      <c r="D13" s="147"/>
      <c r="E13" s="147">
        <f>+SUM(Inputs!F161:F164)</f>
        <v>0</v>
      </c>
      <c r="F13" s="2">
        <f>+SUM(Inputs!G161:G164)</f>
        <v>0</v>
      </c>
      <c r="G13" s="2">
        <f>+SUM(Inputs!H161:H164)</f>
        <v>864.86400000000003</v>
      </c>
      <c r="H13" s="2">
        <f>+SUM(Inputs!I161:I164)</f>
        <v>200</v>
      </c>
      <c r="I13" s="2">
        <f>+SUM(Inputs!J161:J164)</f>
        <v>433.269837</v>
      </c>
      <c r="J13" s="2">
        <f>+SUM(Inputs!K161:K164)</f>
        <v>165</v>
      </c>
      <c r="K13" s="2">
        <f>+SUM(Inputs!L161:L164)</f>
        <v>812.84250361349984</v>
      </c>
      <c r="L13" s="2">
        <f>+SUM(Inputs!M161:M164)</f>
        <v>178.90265386875001</v>
      </c>
      <c r="M13" s="2">
        <f>+SUM(Inputs!N161:N164)</f>
        <v>165</v>
      </c>
      <c r="N13" s="2">
        <f>+SUM(Inputs!O161:O164)</f>
        <v>304.06100053881448</v>
      </c>
      <c r="O13" s="2">
        <f>+SUM(Inputs!P161:P164)</f>
        <v>110.00000000000001</v>
      </c>
      <c r="P13" s="2">
        <f>+SUM(Inputs!Q161:Q164)</f>
        <v>1567.5504907648481</v>
      </c>
      <c r="Q13" s="2">
        <f>+SUM(Inputs!R161:R164)</f>
        <v>6646.1005723195476</v>
      </c>
      <c r="R13" s="2">
        <f>+SUM(Inputs!S161:S164)</f>
        <v>110.00000000000001</v>
      </c>
      <c r="S13" s="2">
        <f>+SUM(Inputs!T161:T164)</f>
        <v>110.00000000000001</v>
      </c>
      <c r="T13" s="2">
        <f>+SUM(Inputs!U161:U164)</f>
        <v>172.15799349555806</v>
      </c>
      <c r="U13" s="2">
        <f>+SUM(Inputs!V161:V164)</f>
        <v>110.46210703205652</v>
      </c>
      <c r="V13" s="2">
        <f>+SUM(Inputs!W161:W164)</f>
        <v>0</v>
      </c>
      <c r="W13" s="2">
        <f>+SUM(Inputs!X161:X164)</f>
        <v>0</v>
      </c>
      <c r="X13" s="2">
        <f>+SUM(Inputs!Y161:Y164)</f>
        <v>0</v>
      </c>
      <c r="Y13" s="2">
        <f>+SUM(Inputs!Z161:Z164)</f>
        <v>1366.4884241469733</v>
      </c>
      <c r="Z13" s="2">
        <f>+SUM(Inputs!AA161:AA164)</f>
        <v>0</v>
      </c>
      <c r="AA13" s="2">
        <f>+SUM(Inputs!AB161:AB164)</f>
        <v>0</v>
      </c>
      <c r="AB13" s="2">
        <f>+SUM(Inputs!AC161:AC164)</f>
        <v>0</v>
      </c>
      <c r="AC13" s="2">
        <f>+SUM(Inputs!AD161:AD164)</f>
        <v>0</v>
      </c>
      <c r="AD13" s="2">
        <f>+SUM(Inputs!AE161:AE164)</f>
        <v>0</v>
      </c>
      <c r="AE13" s="2">
        <f>+SUM(Inputs!AF161:AF164)</f>
        <v>0</v>
      </c>
      <c r="AF13" s="2">
        <f>+SUM(Inputs!AG161:AG164)</f>
        <v>0</v>
      </c>
      <c r="AG13" s="2">
        <f>+SUM(Inputs!AH161:AH164)</f>
        <v>1470.9729389617005</v>
      </c>
      <c r="AH13" s="2">
        <f>+SUM(Inputs!AI161:AI164)</f>
        <v>0</v>
      </c>
      <c r="AI13" s="2">
        <f>+SUM(Inputs!AJ161:AJ164)</f>
        <v>0</v>
      </c>
      <c r="AJ13" s="2">
        <f>+SUM(Inputs!AK161:AK164)</f>
        <v>500</v>
      </c>
      <c r="AK13" s="2">
        <f>+SUM(Inputs!AL161:AL164)</f>
        <v>0</v>
      </c>
      <c r="AL13" s="2">
        <f>+SUM(Inputs!AM161:AM164)</f>
        <v>0</v>
      </c>
      <c r="AM13" s="2">
        <f>+SUM(Inputs!AN161:AN164)</f>
        <v>2261.1962257248251</v>
      </c>
      <c r="AN13" s="2">
        <f>+SUM(Inputs!AO161:AO164)</f>
        <v>0</v>
      </c>
      <c r="AO13" s="2">
        <f>+SUM(Inputs!AP161:AP164)</f>
        <v>1862.295977109407</v>
      </c>
      <c r="AP13" s="2">
        <f>+SUM(Inputs!AQ161:AQ164)</f>
        <v>0</v>
      </c>
      <c r="AQ13" s="2">
        <f>+SUM(Inputs!AR161:AR164)</f>
        <v>0</v>
      </c>
    </row>
    <row r="14" spans="2:43" s="2" customFormat="1" x14ac:dyDescent="0.35">
      <c r="C14" s="2" t="s">
        <v>100</v>
      </c>
      <c r="D14" s="147"/>
      <c r="E14" s="147">
        <v>156</v>
      </c>
    </row>
    <row r="15" spans="2:43" s="2" customFormat="1" x14ac:dyDescent="0.35">
      <c r="C15" s="2" t="s">
        <v>42</v>
      </c>
      <c r="D15" s="147"/>
      <c r="E15" s="134">
        <f>+SUM(E6:E14)</f>
        <v>1117.0125</v>
      </c>
      <c r="F15" s="42">
        <f t="shared" ref="F15:AJ15" si="5">+SUM(F6:F14)</f>
        <v>332.63978363362565</v>
      </c>
      <c r="G15" s="42">
        <f t="shared" si="5"/>
        <v>1174.2899847967326</v>
      </c>
      <c r="H15" s="42">
        <f t="shared" si="5"/>
        <v>549.59791158935741</v>
      </c>
      <c r="I15" s="42">
        <f t="shared" si="5"/>
        <v>778.10954293649309</v>
      </c>
      <c r="J15" s="42">
        <f t="shared" si="5"/>
        <v>515.31707647686153</v>
      </c>
      <c r="K15" s="42">
        <f t="shared" si="5"/>
        <v>1174.8825116399687</v>
      </c>
      <c r="L15" s="42">
        <f t="shared" si="5"/>
        <v>552.64901157091515</v>
      </c>
      <c r="M15" s="42">
        <f t="shared" si="5"/>
        <v>541.59088608293155</v>
      </c>
      <c r="N15" s="42">
        <f t="shared" si="5"/>
        <v>685.60688713826846</v>
      </c>
      <c r="O15" s="42">
        <f t="shared" si="5"/>
        <v>496.31507091992648</v>
      </c>
      <c r="P15" s="42">
        <f t="shared" si="5"/>
        <v>1954.3145883131683</v>
      </c>
      <c r="Q15" s="42">
        <f t="shared" si="5"/>
        <v>6857.2943665740941</v>
      </c>
      <c r="R15" s="42">
        <f t="shared" si="5"/>
        <v>370.62625033378572</v>
      </c>
      <c r="S15" s="42">
        <f t="shared" si="5"/>
        <v>341.97935866797519</v>
      </c>
      <c r="T15" s="42">
        <f t="shared" si="5"/>
        <v>397.40948980404295</v>
      </c>
      <c r="U15" s="42">
        <f t="shared" si="5"/>
        <v>328.6006118666474</v>
      </c>
      <c r="V15" s="42">
        <f t="shared" si="5"/>
        <v>208.59956859269869</v>
      </c>
      <c r="W15" s="42">
        <f t="shared" si="5"/>
        <v>197.59017575773632</v>
      </c>
      <c r="X15" s="42">
        <f t="shared" si="5"/>
        <v>187.14333129501921</v>
      </c>
      <c r="Y15" s="42">
        <f t="shared" si="5"/>
        <v>1523.8287561431048</v>
      </c>
      <c r="Z15" s="42">
        <f t="shared" si="5"/>
        <v>161.92258133302226</v>
      </c>
      <c r="AA15" s="42">
        <f t="shared" si="5"/>
        <v>147.74442887725209</v>
      </c>
      <c r="AB15" s="42">
        <f t="shared" si="5"/>
        <v>133.71977870131104</v>
      </c>
      <c r="AC15" s="42">
        <f t="shared" si="5"/>
        <v>122.74647291516638</v>
      </c>
      <c r="AD15" s="42">
        <f t="shared" si="5"/>
        <v>110.79479896280515</v>
      </c>
      <c r="AE15" s="42">
        <f t="shared" si="5"/>
        <v>98.310870634520057</v>
      </c>
      <c r="AF15" s="42">
        <f t="shared" si="5"/>
        <v>85.264155755274373</v>
      </c>
      <c r="AG15" s="42">
        <f t="shared" si="5"/>
        <v>1561.3049321023814</v>
      </c>
      <c r="AH15" s="42">
        <f t="shared" si="5"/>
        <v>97.569789659001174</v>
      </c>
      <c r="AI15" s="42">
        <f t="shared" si="5"/>
        <v>85.122203484687219</v>
      </c>
      <c r="AJ15" s="42">
        <f t="shared" si="5"/>
        <v>574.28309344310878</v>
      </c>
      <c r="AK15" s="42">
        <f t="shared" ref="AK15:AL15" si="6">+SUM(AK6:AK14)</f>
        <v>65.709327763507332</v>
      </c>
      <c r="AL15" s="42">
        <f t="shared" si="6"/>
        <v>53.891556108806149</v>
      </c>
      <c r="AM15" s="42">
        <f t="shared" ref="AM15:AQ15" si="7">+SUM(AM6:AM14)</f>
        <v>2326.4051416269285</v>
      </c>
      <c r="AN15" s="42">
        <f t="shared" si="7"/>
        <v>76.535463433075805</v>
      </c>
      <c r="AO15" s="42">
        <f t="shared" si="7"/>
        <v>1928.1623044066973</v>
      </c>
      <c r="AP15" s="42">
        <f t="shared" si="7"/>
        <v>54.315598891120224</v>
      </c>
      <c r="AQ15" s="42">
        <f t="shared" si="7"/>
        <v>39.50917555551402</v>
      </c>
    </row>
    <row r="16" spans="2:43" s="2" customFormat="1" x14ac:dyDescent="0.35"/>
    <row r="17" spans="2:43" s="2" customFormat="1" x14ac:dyDescent="0.35"/>
    <row r="18" spans="2:43" s="2" customFormat="1" x14ac:dyDescent="0.35">
      <c r="C18" s="2" t="s">
        <v>43</v>
      </c>
      <c r="D18" s="147"/>
      <c r="E18" s="147">
        <f>+SUM(Inputs!F171:F182)</f>
        <v>518.95257333333336</v>
      </c>
      <c r="F18" s="2">
        <f>+SUM(Inputs!G171:G182)</f>
        <v>551.30697340000006</v>
      </c>
      <c r="G18" s="2">
        <f>+SUM(Inputs!H171:H182)</f>
        <v>562.89323051899987</v>
      </c>
      <c r="H18" s="2">
        <f>+SUM(Inputs!I171:I182)</f>
        <v>590.31168519384994</v>
      </c>
      <c r="I18" s="2">
        <f>+SUM(Inputs!J171:J182)</f>
        <v>499.33884615595372</v>
      </c>
      <c r="J18" s="2">
        <f>+SUM(Inputs!K171:K182)</f>
        <v>551.36345864193481</v>
      </c>
      <c r="K18" s="2">
        <f>+SUM(Inputs!L171:L182)</f>
        <v>526.79752781477362</v>
      </c>
      <c r="L18" s="2">
        <f>+SUM(Inputs!M171:M182)</f>
        <v>583.19347837106898</v>
      </c>
      <c r="M18" s="2">
        <f>+SUM(Inputs!N171:N182)</f>
        <v>537.59534793849036</v>
      </c>
      <c r="N18" s="2">
        <f>+SUM(Inputs!O171:O182)</f>
        <v>548.30725489726012</v>
      </c>
      <c r="O18" s="2">
        <f>+SUM(Inputs!P171:P182)</f>
        <v>600.34562874159371</v>
      </c>
      <c r="P18" s="2">
        <f>+SUM(Inputs!Q171:Q182)</f>
        <v>572.99373931608113</v>
      </c>
      <c r="Q18" s="2">
        <f>+SUM(Inputs!R171:R182)</f>
        <v>628.14714162965481</v>
      </c>
      <c r="R18" s="2">
        <f>+SUM(Inputs!S171:S182)</f>
        <v>579.18894415926695</v>
      </c>
      <c r="S18" s="2">
        <f>+SUM(Inputs!T171:T182)</f>
        <v>587.58749867650215</v>
      </c>
      <c r="T18" s="2">
        <f>+SUM(Inputs!U171:U182)</f>
        <v>642.58746508529578</v>
      </c>
      <c r="U18" s="2">
        <f>+SUM(Inputs!V171:V182)</f>
        <v>615.2024922761309</v>
      </c>
      <c r="V18" s="2">
        <f>+SUM(Inputs!W171:W182)</f>
        <v>671.98229899704017</v>
      </c>
      <c r="W18" s="2">
        <f>+SUM(Inputs!X171:X182)</f>
        <v>606.15214922705673</v>
      </c>
      <c r="X18" s="2">
        <f>+SUM(Inputs!Y171:Y182)</f>
        <v>614.9328014302979</v>
      </c>
      <c r="Y18" s="2">
        <f>+SUM(Inputs!Z171:Z182)</f>
        <v>647.85912414137613</v>
      </c>
      <c r="Z18" s="2">
        <f>+SUM(Inputs!AA171:AA182)</f>
        <v>595.82058060207703</v>
      </c>
      <c r="AA18" s="2">
        <f>+SUM(Inputs!AB171:AB182)</f>
        <v>653.00600375083263</v>
      </c>
      <c r="AB18" s="2">
        <f>+SUM(Inputs!AC171:AC182)</f>
        <v>561.06353059068249</v>
      </c>
      <c r="AC18" s="2">
        <f>+SUM(Inputs!AD171:AD182)</f>
        <v>568.77739042236885</v>
      </c>
      <c r="AD18" s="2">
        <f>+SUM(Inputs!AE171:AE182)</f>
        <v>624.95296709064371</v>
      </c>
      <c r="AE18" s="2">
        <f>+SUM(Inputs!AF171:AF182)</f>
        <v>595.39239431999545</v>
      </c>
      <c r="AF18" s="2">
        <f>+SUM(Inputs!AG171:AG182)</f>
        <v>653.37352339943902</v>
      </c>
      <c r="AG18" s="2">
        <f>+SUM(Inputs!AH171:AH182)</f>
        <v>559.45532875401989</v>
      </c>
      <c r="AH18" s="2">
        <f>+SUM(Inputs!AI171:AI182)</f>
        <v>497.16292140222231</v>
      </c>
      <c r="AI18" s="2">
        <f>+SUM(Inputs!AJ171:AJ182)</f>
        <v>552.69807306360633</v>
      </c>
      <c r="AJ18" s="2">
        <f>+SUM(Inputs!AK171:AK182)</f>
        <v>520.7460451916877</v>
      </c>
      <c r="AK18" s="2">
        <f>+SUM(Inputs!AL171:AL182)</f>
        <v>516.11057682155626</v>
      </c>
      <c r="AL18" s="2">
        <f>+SUM(Inputs!AM171:AM182)</f>
        <v>586.98209218166892</v>
      </c>
      <c r="AM18" s="2">
        <f>+SUM(Inputs!AN171:AN182)</f>
        <v>594.85913311698482</v>
      </c>
      <c r="AN18" s="2">
        <f>+SUM(Inputs!AO171:AO182)</f>
        <v>602.85625338210571</v>
      </c>
      <c r="AO18" s="2">
        <f>+SUM(Inputs!AP171:AP182)</f>
        <v>610.97548744103619</v>
      </c>
      <c r="AP18" s="2">
        <f>+SUM(Inputs!AQ171:AQ182)</f>
        <v>619.21890684925984</v>
      </c>
      <c r="AQ18" s="2">
        <f>+SUM(Inputs!AR171:AR182)</f>
        <v>627.58862096031021</v>
      </c>
    </row>
    <row r="19" spans="2:43" s="2" customFormat="1" x14ac:dyDescent="0.35">
      <c r="C19" s="2" t="s">
        <v>1</v>
      </c>
      <c r="D19" s="147"/>
      <c r="E19" s="147">
        <f>-SUM(Inputs!F187:F193)</f>
        <v>682.97671568627447</v>
      </c>
      <c r="F19" s="2">
        <f>-SUM(Inputs!G187:G193)</f>
        <v>99.354769736842115</v>
      </c>
      <c r="G19" s="2">
        <f>-SUM(Inputs!H187:H193)</f>
        <v>81.884616601251793</v>
      </c>
      <c r="H19" s="2">
        <f>-SUM(Inputs!I187:I193)</f>
        <v>64.874157555307988</v>
      </c>
      <c r="I19" s="2">
        <f>-SUM(Inputs!J187:J193)</f>
        <v>67.006521342051272</v>
      </c>
      <c r="J19" s="2">
        <f>-SUM(Inputs!K187:K193)</f>
        <v>62.309661865756809</v>
      </c>
      <c r="K19" s="2">
        <f>-SUM(Inputs!L187:L193)</f>
        <v>64.224211807019742</v>
      </c>
      <c r="L19" s="2">
        <f>-SUM(Inputs!M187:M193)</f>
        <v>78.97781434571074</v>
      </c>
      <c r="M19" s="2">
        <f>-SUM(Inputs!N187:N193)</f>
        <v>169.69717631991898</v>
      </c>
      <c r="N19" s="2">
        <f>-SUM(Inputs!O187:O193)</f>
        <v>84.557249618292033</v>
      </c>
      <c r="O19" s="2">
        <f>-SUM(Inputs!P187:P193)</f>
        <v>86.133810525584906</v>
      </c>
      <c r="P19" s="2">
        <f>-SUM(Inputs!Q187:Q193)</f>
        <v>77.009123561944861</v>
      </c>
      <c r="Q19" s="2">
        <f>-SUM(Inputs!R187:R193)</f>
        <v>25.365421460780304</v>
      </c>
      <c r="R19" s="2">
        <f>-SUM(Inputs!S187:S193)</f>
        <v>1919.0676604304249</v>
      </c>
      <c r="S19" s="2">
        <f>-SUM(Inputs!T187:T193)</f>
        <v>61.858775877482209</v>
      </c>
      <c r="T19" s="2">
        <f>-SUM(Inputs!U187:U193)</f>
        <v>55.373371775893588</v>
      </c>
      <c r="U19" s="2">
        <f>-SUM(Inputs!V187:V193)</f>
        <v>54.325190684373588</v>
      </c>
      <c r="V19" s="2">
        <f>-SUM(Inputs!W187:W193)</f>
        <v>40.679768490271456</v>
      </c>
      <c r="W19" s="2">
        <f>-SUM(Inputs!X187:X193)</f>
        <v>58.248464033445003</v>
      </c>
      <c r="X19" s="2">
        <f>-SUM(Inputs!Y187:Y193)</f>
        <v>35.215249969235408</v>
      </c>
      <c r="Y19" s="2">
        <f>-SUM(Inputs!Z187:Z193)</f>
        <v>32.434892974152156</v>
      </c>
      <c r="Z19" s="2">
        <f>-SUM(Inputs!AA187:AA193)</f>
        <v>33.585082999032892</v>
      </c>
      <c r="AA19" s="2">
        <f>-SUM(Inputs!AB187:AB193)</f>
        <v>216.35275136999888</v>
      </c>
      <c r="AB19" s="2">
        <f>-SUM(Inputs!AC187:AC193)</f>
        <v>31.186107219313023</v>
      </c>
      <c r="AC19" s="2">
        <f>-SUM(Inputs!AD187:AD193)</f>
        <v>27.679944675327761</v>
      </c>
      <c r="AD19" s="2">
        <f>-SUM(Inputs!AE187:AE193)</f>
        <v>24.936618228791595</v>
      </c>
      <c r="AE19" s="2">
        <f>-SUM(Inputs!AF187:AF193)</f>
        <v>21.948699740701286</v>
      </c>
      <c r="AF19" s="2">
        <f>-SUM(Inputs!AG187:AG193)</f>
        <v>18.827717658630014</v>
      </c>
      <c r="AG19" s="2">
        <f>-SUM(Inputs!AH187:AH193)</f>
        <v>15.566038938818595</v>
      </c>
      <c r="AH19" s="2">
        <f>-SUM(Inputs!AI187:AI193)</f>
        <v>16.83299828517023</v>
      </c>
      <c r="AI19" s="2">
        <f>-SUM(Inputs!AJ187:AJ193)</f>
        <v>189.51068215517546</v>
      </c>
      <c r="AJ19" s="2">
        <f>-SUM(Inputs!AK187:AK193)</f>
        <v>15.530550871171805</v>
      </c>
      <c r="AK19" s="2">
        <f>-SUM(Inputs!AL187:AL193)</f>
        <v>12.820773360777183</v>
      </c>
      <c r="AL19" s="2">
        <f>-SUM(Inputs!AM187:AM193)</f>
        <v>10.677331940876831</v>
      </c>
      <c r="AM19" s="2">
        <f>-SUM(Inputs!AN187:AN193)</f>
        <v>7.7228890272015374</v>
      </c>
      <c r="AN19" s="2">
        <f>-SUM(Inputs!AO187:AO193)</f>
        <v>10.55222897552582</v>
      </c>
      <c r="AO19" s="2">
        <f>-SUM(Inputs!AP187:AP193)</f>
        <v>478.6829222894753</v>
      </c>
      <c r="AP19" s="2">
        <f>-SUM(Inputs!AQ187:AQ193)</f>
        <v>10.716581824322567</v>
      </c>
      <c r="AQ19" s="2">
        <f>-SUM(Inputs!AR187:AR193)</f>
        <v>7.8288997227800561</v>
      </c>
    </row>
    <row r="20" spans="2:43" s="2" customFormat="1" x14ac:dyDescent="0.35">
      <c r="C20" s="2" t="s">
        <v>60</v>
      </c>
      <c r="D20" s="147"/>
      <c r="E20" s="147">
        <f>+SUM(Inputs!F157:F159)</f>
        <v>111.30000000000001</v>
      </c>
      <c r="F20" s="2">
        <f>+SUM(Inputs!G157:G159)</f>
        <v>1104.2184210526316</v>
      </c>
      <c r="G20" s="2">
        <f>+SUM(Inputs!H157:H159)</f>
        <v>165</v>
      </c>
      <c r="H20" s="2">
        <f>+SUM(Inputs!I157:I159)</f>
        <v>165</v>
      </c>
      <c r="I20" s="2">
        <f>+SUM(Inputs!J157:J159)</f>
        <v>138.60000000000002</v>
      </c>
      <c r="J20" s="2">
        <f>+SUM(Inputs!K157:K159)</f>
        <v>0</v>
      </c>
      <c r="K20" s="2">
        <f>+SUM(Inputs!L157:L159)</f>
        <v>0</v>
      </c>
      <c r="L20" s="2">
        <f>+SUM(Inputs!M157:M159)</f>
        <v>0</v>
      </c>
      <c r="M20" s="2">
        <f>+SUM(Inputs!N157:N159)</f>
        <v>0</v>
      </c>
      <c r="N20" s="2">
        <f>+SUM(Inputs!O157:O159)</f>
        <v>0</v>
      </c>
      <c r="O20" s="2">
        <f>+SUM(Inputs!P157:P159)</f>
        <v>0</v>
      </c>
      <c r="P20" s="2">
        <f>+SUM(Inputs!Q157:Q159)</f>
        <v>0</v>
      </c>
      <c r="Q20" s="2">
        <f>+SUM(Inputs!R157:R159)</f>
        <v>0</v>
      </c>
      <c r="R20" s="2">
        <f>+SUM(Inputs!S157:S159)</f>
        <v>0</v>
      </c>
      <c r="S20" s="2">
        <f>+SUM(Inputs!T157:T159)</f>
        <v>0</v>
      </c>
      <c r="T20" s="2">
        <f>+SUM(Inputs!U157:U159)</f>
        <v>0</v>
      </c>
      <c r="U20" s="2">
        <f>+SUM(Inputs!V157:V159)</f>
        <v>0</v>
      </c>
      <c r="V20" s="2">
        <f>+SUM(Inputs!W157:W159)</f>
        <v>0</v>
      </c>
      <c r="W20" s="2">
        <f>+SUM(Inputs!X157:X159)</f>
        <v>0</v>
      </c>
      <c r="X20" s="2">
        <f>+SUM(Inputs!Y157:Y159)</f>
        <v>0</v>
      </c>
      <c r="Y20" s="2">
        <f>+SUM(Inputs!Z157:Z159)</f>
        <v>0</v>
      </c>
      <c r="Z20" s="2">
        <f>+SUM(Inputs!AA157:AA159)</f>
        <v>0</v>
      </c>
      <c r="AA20" s="2">
        <f>+SUM(Inputs!AB157:AB159)</f>
        <v>0</v>
      </c>
      <c r="AB20" s="2">
        <f>+SUM(Inputs!AC157:AC159)</f>
        <v>0</v>
      </c>
      <c r="AC20" s="2">
        <f>+SUM(Inputs!AD157:AD159)</f>
        <v>0</v>
      </c>
      <c r="AD20" s="2">
        <f>+SUM(Inputs!AE157:AE159)</f>
        <v>0</v>
      </c>
      <c r="AE20" s="2">
        <f>+SUM(Inputs!AF157:AF159)</f>
        <v>0</v>
      </c>
      <c r="AF20" s="2">
        <f>+SUM(Inputs!AG157:AG159)</f>
        <v>0</v>
      </c>
      <c r="AG20" s="2">
        <f>+SUM(Inputs!AH157:AH159)</f>
        <v>0</v>
      </c>
      <c r="AH20" s="2">
        <f>+SUM(Inputs!AI157:AI159)</f>
        <v>0</v>
      </c>
      <c r="AI20" s="2">
        <f>+SUM(Inputs!AJ157:AJ159)</f>
        <v>0</v>
      </c>
      <c r="AJ20" s="2">
        <f>+SUM(Inputs!AK157:AK159)</f>
        <v>0</v>
      </c>
      <c r="AK20" s="2">
        <f>+SUM(Inputs!AL157:AL159)</f>
        <v>0</v>
      </c>
      <c r="AL20" s="2">
        <f>+SUM(Inputs!AM157:AM159)</f>
        <v>0</v>
      </c>
      <c r="AM20" s="2">
        <f>+SUM(Inputs!AN157:AN159)</f>
        <v>0</v>
      </c>
      <c r="AN20" s="2">
        <f>+SUM(Inputs!AO157:AO159)</f>
        <v>0</v>
      </c>
      <c r="AO20" s="2">
        <f>+SUM(Inputs!AP157:AP159)</f>
        <v>0</v>
      </c>
      <c r="AP20" s="2">
        <f>+SUM(Inputs!AQ157:AQ159)</f>
        <v>0</v>
      </c>
      <c r="AQ20" s="2">
        <f>+SUM(Inputs!AR157:AR159)</f>
        <v>0</v>
      </c>
    </row>
    <row r="21" spans="2:43" s="2" customFormat="1" x14ac:dyDescent="0.35">
      <c r="C21" s="2" t="s">
        <v>93</v>
      </c>
      <c r="D21" s="147"/>
      <c r="E21" s="147">
        <f>+Inputs!F166</f>
        <v>36</v>
      </c>
      <c r="F21" s="2">
        <f>+Inputs!G166</f>
        <v>45</v>
      </c>
      <c r="G21" s="2">
        <f>+Inputs!H166</f>
        <v>0</v>
      </c>
      <c r="H21" s="2">
        <f>+Inputs!I166</f>
        <v>0</v>
      </c>
      <c r="I21" s="2">
        <f>+Inputs!J166</f>
        <v>0</v>
      </c>
      <c r="J21" s="2">
        <f>+Inputs!K166</f>
        <v>0</v>
      </c>
      <c r="K21" s="2">
        <f>+Inputs!L166</f>
        <v>0</v>
      </c>
      <c r="L21" s="2">
        <f>+Inputs!M166</f>
        <v>0</v>
      </c>
      <c r="M21" s="2">
        <f>+Inputs!N166</f>
        <v>0</v>
      </c>
      <c r="N21" s="2">
        <f>+Inputs!O166</f>
        <v>0</v>
      </c>
      <c r="O21" s="2">
        <f>+Inputs!P166</f>
        <v>0</v>
      </c>
      <c r="P21" s="2">
        <f>+Inputs!Q166</f>
        <v>0</v>
      </c>
      <c r="Q21" s="2">
        <f>+Inputs!R166</f>
        <v>0</v>
      </c>
      <c r="R21" s="2">
        <f>+Inputs!S166</f>
        <v>0</v>
      </c>
      <c r="S21" s="2">
        <f>+Inputs!T166</f>
        <v>0</v>
      </c>
      <c r="T21" s="2">
        <f>+Inputs!U166</f>
        <v>0</v>
      </c>
      <c r="U21" s="2">
        <f>+Inputs!V166</f>
        <v>0</v>
      </c>
      <c r="V21" s="2">
        <f>+Inputs!W166</f>
        <v>0</v>
      </c>
      <c r="W21" s="2">
        <f>+Inputs!X166</f>
        <v>0</v>
      </c>
      <c r="X21" s="2">
        <f>+Inputs!Y166</f>
        <v>0</v>
      </c>
      <c r="Y21" s="2">
        <f>+Inputs!Z166</f>
        <v>0</v>
      </c>
      <c r="Z21" s="2">
        <f>+Inputs!AA166</f>
        <v>0</v>
      </c>
      <c r="AA21" s="2">
        <f>+Inputs!AB166</f>
        <v>0</v>
      </c>
      <c r="AB21" s="2">
        <f>+Inputs!AC166</f>
        <v>0</v>
      </c>
      <c r="AC21" s="2">
        <f>+Inputs!AD166</f>
        <v>0</v>
      </c>
      <c r="AD21" s="2">
        <f>+Inputs!AE166</f>
        <v>0</v>
      </c>
      <c r="AE21" s="2">
        <f>+Inputs!AF166</f>
        <v>0</v>
      </c>
      <c r="AF21" s="2">
        <f>+Inputs!AG166</f>
        <v>0</v>
      </c>
      <c r="AG21" s="2">
        <f>+Inputs!AH166</f>
        <v>0</v>
      </c>
      <c r="AH21" s="2">
        <f>+Inputs!AI166</f>
        <v>0</v>
      </c>
      <c r="AI21" s="2">
        <f>+Inputs!AJ166</f>
        <v>0</v>
      </c>
      <c r="AJ21" s="2">
        <f>+Inputs!AK166</f>
        <v>0</v>
      </c>
      <c r="AK21" s="2">
        <f>+Inputs!AL166</f>
        <v>0</v>
      </c>
      <c r="AL21" s="2">
        <f>+Inputs!AM166</f>
        <v>0</v>
      </c>
      <c r="AM21" s="2">
        <f>+Inputs!AN166</f>
        <v>0</v>
      </c>
      <c r="AN21" s="2">
        <f>+Inputs!AO166</f>
        <v>0</v>
      </c>
      <c r="AO21" s="2">
        <f>+Inputs!AP166</f>
        <v>0</v>
      </c>
      <c r="AP21" s="2">
        <f>+Inputs!AQ166</f>
        <v>0</v>
      </c>
      <c r="AQ21" s="2">
        <f>+Inputs!AR166</f>
        <v>0</v>
      </c>
    </row>
    <row r="22" spans="2:43" s="2" customFormat="1" x14ac:dyDescent="0.35">
      <c r="C22" s="2" t="s">
        <v>95</v>
      </c>
      <c r="D22" s="147"/>
      <c r="E22" s="147"/>
      <c r="F22" s="2">
        <f>+F18*0.05</f>
        <v>27.565348670000006</v>
      </c>
      <c r="G22" s="2">
        <f t="shared" ref="G22:AJ22" si="8">+G18*0.05</f>
        <v>28.144661525949996</v>
      </c>
      <c r="H22" s="2">
        <f t="shared" si="8"/>
        <v>29.515584259692499</v>
      </c>
      <c r="I22" s="2">
        <f t="shared" si="8"/>
        <v>24.966942307797687</v>
      </c>
      <c r="J22" s="2">
        <f t="shared" si="8"/>
        <v>27.568172932096743</v>
      </c>
      <c r="K22" s="2">
        <f t="shared" si="8"/>
        <v>26.339876390738681</v>
      </c>
      <c r="L22" s="2">
        <f t="shared" si="8"/>
        <v>29.159673918553452</v>
      </c>
      <c r="M22" s="2">
        <f t="shared" si="8"/>
        <v>26.879767396924521</v>
      </c>
      <c r="N22" s="2">
        <f t="shared" si="8"/>
        <v>27.415362744863007</v>
      </c>
      <c r="O22" s="2">
        <f t="shared" si="8"/>
        <v>30.017281437079689</v>
      </c>
      <c r="P22" s="2">
        <f t="shared" si="8"/>
        <v>28.649686965804058</v>
      </c>
      <c r="Q22" s="2">
        <f t="shared" si="8"/>
        <v>31.407357081482743</v>
      </c>
      <c r="R22" s="2">
        <f t="shared" si="8"/>
        <v>28.95944720796335</v>
      </c>
      <c r="S22" s="2">
        <f t="shared" si="8"/>
        <v>29.379374933825108</v>
      </c>
      <c r="T22" s="2">
        <f t="shared" si="8"/>
        <v>32.129373254264792</v>
      </c>
      <c r="U22" s="2">
        <f t="shared" si="8"/>
        <v>30.760124613806546</v>
      </c>
      <c r="V22" s="2">
        <f t="shared" si="8"/>
        <v>33.599114949852009</v>
      </c>
      <c r="W22" s="2">
        <f t="shared" si="8"/>
        <v>30.307607461352838</v>
      </c>
      <c r="X22" s="2">
        <f t="shared" si="8"/>
        <v>30.746640071514896</v>
      </c>
      <c r="Y22" s="2">
        <f t="shared" si="8"/>
        <v>32.392956207068806</v>
      </c>
      <c r="Z22" s="2">
        <f t="shared" si="8"/>
        <v>29.791029030103854</v>
      </c>
      <c r="AA22" s="2">
        <f t="shared" si="8"/>
        <v>32.650300187541632</v>
      </c>
      <c r="AB22" s="2">
        <f t="shared" si="8"/>
        <v>28.053176529534127</v>
      </c>
      <c r="AC22" s="2">
        <f t="shared" si="8"/>
        <v>28.438869521118445</v>
      </c>
      <c r="AD22" s="2">
        <f t="shared" si="8"/>
        <v>31.247648354532188</v>
      </c>
      <c r="AE22" s="2">
        <f t="shared" si="8"/>
        <v>29.769619715999774</v>
      </c>
      <c r="AF22" s="2">
        <f t="shared" si="8"/>
        <v>32.668676169971953</v>
      </c>
      <c r="AG22" s="2">
        <f t="shared" si="8"/>
        <v>27.972766437700997</v>
      </c>
      <c r="AH22" s="2">
        <f t="shared" si="8"/>
        <v>24.858146070111118</v>
      </c>
      <c r="AI22" s="2">
        <f t="shared" si="8"/>
        <v>27.634903653180316</v>
      </c>
      <c r="AJ22" s="2">
        <f t="shared" si="8"/>
        <v>26.037302259584386</v>
      </c>
      <c r="AK22" s="2">
        <f t="shared" ref="AK22:AL22" si="9">+AK18*0.05</f>
        <v>25.805528841077816</v>
      </c>
      <c r="AL22" s="2">
        <f t="shared" si="9"/>
        <v>29.349104609083447</v>
      </c>
      <c r="AM22" s="2">
        <f t="shared" ref="AM22:AQ22" si="10">+AM18*0.05</f>
        <v>29.742956655849241</v>
      </c>
      <c r="AN22" s="2">
        <f t="shared" si="10"/>
        <v>30.142812669105286</v>
      </c>
      <c r="AO22" s="2">
        <f t="shared" si="10"/>
        <v>30.54877437205181</v>
      </c>
      <c r="AP22" s="2">
        <f t="shared" si="10"/>
        <v>30.960945342462992</v>
      </c>
      <c r="AQ22" s="2">
        <f t="shared" si="10"/>
        <v>31.379431048015512</v>
      </c>
    </row>
    <row r="23" spans="2:43" s="2" customFormat="1" x14ac:dyDescent="0.35">
      <c r="C23" s="2" t="s">
        <v>44</v>
      </c>
      <c r="D23" s="147"/>
      <c r="E23" s="134">
        <f t="shared" ref="E23:AJ23" si="11">+SUM(E18:E22)</f>
        <v>1349.2292890196079</v>
      </c>
      <c r="F23" s="42">
        <f t="shared" si="11"/>
        <v>1827.4455128594739</v>
      </c>
      <c r="G23" s="42">
        <f t="shared" si="11"/>
        <v>837.92250864620166</v>
      </c>
      <c r="H23" s="42">
        <f t="shared" si="11"/>
        <v>849.70142700885037</v>
      </c>
      <c r="I23" s="42">
        <f t="shared" si="11"/>
        <v>729.91230980580269</v>
      </c>
      <c r="J23" s="42">
        <f t="shared" si="11"/>
        <v>641.24129343978836</v>
      </c>
      <c r="K23" s="42">
        <f t="shared" si="11"/>
        <v>617.36161601253207</v>
      </c>
      <c r="L23" s="42">
        <f t="shared" si="11"/>
        <v>691.3309666353332</v>
      </c>
      <c r="M23" s="42">
        <f t="shared" si="11"/>
        <v>734.17229165533388</v>
      </c>
      <c r="N23" s="42">
        <f t="shared" si="11"/>
        <v>660.27986726041524</v>
      </c>
      <c r="O23" s="42">
        <f t="shared" si="11"/>
        <v>716.49672070425822</v>
      </c>
      <c r="P23" s="42">
        <f t="shared" si="11"/>
        <v>678.65254984383012</v>
      </c>
      <c r="Q23" s="42">
        <f t="shared" si="11"/>
        <v>684.91992017191785</v>
      </c>
      <c r="R23" s="42">
        <f t="shared" si="11"/>
        <v>2527.2160517976554</v>
      </c>
      <c r="S23" s="42">
        <f t="shared" si="11"/>
        <v>678.82564948780953</v>
      </c>
      <c r="T23" s="42">
        <f t="shared" si="11"/>
        <v>730.09021011545417</v>
      </c>
      <c r="U23" s="42">
        <f t="shared" si="11"/>
        <v>700.28780757431105</v>
      </c>
      <c r="V23" s="42">
        <f t="shared" si="11"/>
        <v>746.26118243716371</v>
      </c>
      <c r="W23" s="42">
        <f t="shared" si="11"/>
        <v>694.70822072185456</v>
      </c>
      <c r="X23" s="42">
        <f t="shared" si="11"/>
        <v>680.89469147104819</v>
      </c>
      <c r="Y23" s="42">
        <f t="shared" si="11"/>
        <v>712.68697332259705</v>
      </c>
      <c r="Z23" s="42">
        <f t="shared" si="11"/>
        <v>659.19669263121375</v>
      </c>
      <c r="AA23" s="42">
        <f t="shared" si="11"/>
        <v>902.00905530837326</v>
      </c>
      <c r="AB23" s="42">
        <f t="shared" si="11"/>
        <v>620.30281433952962</v>
      </c>
      <c r="AC23" s="42">
        <f t="shared" si="11"/>
        <v>624.89620461881509</v>
      </c>
      <c r="AD23" s="42">
        <f t="shared" si="11"/>
        <v>681.13723367396756</v>
      </c>
      <c r="AE23" s="42">
        <f t="shared" si="11"/>
        <v>647.11071377669646</v>
      </c>
      <c r="AF23" s="42">
        <f t="shared" si="11"/>
        <v>704.869917228041</v>
      </c>
      <c r="AG23" s="42">
        <f t="shared" si="11"/>
        <v>602.99413413053946</v>
      </c>
      <c r="AH23" s="42">
        <f t="shared" si="11"/>
        <v>538.85406575750369</v>
      </c>
      <c r="AI23" s="42">
        <f t="shared" si="11"/>
        <v>769.84365887196213</v>
      </c>
      <c r="AJ23" s="42">
        <f t="shared" si="11"/>
        <v>562.31389832244395</v>
      </c>
      <c r="AK23" s="42">
        <f t="shared" ref="AK23:AL23" si="12">+SUM(AK18:AK22)</f>
        <v>554.73687902341123</v>
      </c>
      <c r="AL23" s="42">
        <f t="shared" si="12"/>
        <v>627.00852873162921</v>
      </c>
      <c r="AM23" s="42">
        <f t="shared" ref="AM23:AQ23" si="13">+SUM(AM18:AM22)</f>
        <v>632.32497880003552</v>
      </c>
      <c r="AN23" s="42">
        <f t="shared" si="13"/>
        <v>643.55129502673685</v>
      </c>
      <c r="AO23" s="42">
        <f t="shared" si="13"/>
        <v>1120.2071841025634</v>
      </c>
      <c r="AP23" s="42">
        <f t="shared" si="13"/>
        <v>660.89643401604542</v>
      </c>
      <c r="AQ23" s="42">
        <f t="shared" si="13"/>
        <v>666.79695173110576</v>
      </c>
    </row>
    <row r="24" spans="2:43" s="2" customFormat="1" x14ac:dyDescent="0.35">
      <c r="D24" s="147"/>
      <c r="E24" s="147"/>
    </row>
    <row r="25" spans="2:43" s="2" customFormat="1" ht="15" thickBot="1" x14ac:dyDescent="0.4">
      <c r="C25" s="2" t="s">
        <v>45</v>
      </c>
      <c r="D25" s="147"/>
      <c r="E25" s="152">
        <f t="shared" ref="E25:AJ25" si="14">+E15-E23</f>
        <v>-232.21678901960786</v>
      </c>
      <c r="F25" s="72">
        <f>+F15-F23</f>
        <v>-1494.8057292258482</v>
      </c>
      <c r="G25" s="72">
        <f t="shared" si="14"/>
        <v>336.36747615053093</v>
      </c>
      <c r="H25" s="72">
        <f t="shared" si="14"/>
        <v>-300.10351541949296</v>
      </c>
      <c r="I25" s="72">
        <f t="shared" si="14"/>
        <v>48.197233130690392</v>
      </c>
      <c r="J25" s="72">
        <f t="shared" si="14"/>
        <v>-125.92421696292683</v>
      </c>
      <c r="K25" s="72">
        <f t="shared" si="14"/>
        <v>557.52089562743663</v>
      </c>
      <c r="L25" s="72">
        <f t="shared" si="14"/>
        <v>-138.68195506441805</v>
      </c>
      <c r="M25" s="72">
        <f t="shared" si="14"/>
        <v>-192.58140557240233</v>
      </c>
      <c r="N25" s="72">
        <f t="shared" si="14"/>
        <v>25.327019877853218</v>
      </c>
      <c r="O25" s="72">
        <f t="shared" si="14"/>
        <v>-220.18164978433174</v>
      </c>
      <c r="P25" s="72">
        <f t="shared" si="14"/>
        <v>1275.6620384693383</v>
      </c>
      <c r="Q25" s="72">
        <f t="shared" si="14"/>
        <v>6172.3744464021765</v>
      </c>
      <c r="R25" s="72">
        <f t="shared" si="14"/>
        <v>-2156.5898014638697</v>
      </c>
      <c r="S25" s="72">
        <f t="shared" si="14"/>
        <v>-336.84629081983434</v>
      </c>
      <c r="T25" s="72">
        <f t="shared" si="14"/>
        <v>-332.68072031141122</v>
      </c>
      <c r="U25" s="72">
        <f t="shared" si="14"/>
        <v>-371.68719570766365</v>
      </c>
      <c r="V25" s="72">
        <f t="shared" si="14"/>
        <v>-537.66161384446502</v>
      </c>
      <c r="W25" s="72">
        <f t="shared" si="14"/>
        <v>-497.11804496411821</v>
      </c>
      <c r="X25" s="72">
        <f t="shared" si="14"/>
        <v>-493.75136017602898</v>
      </c>
      <c r="Y25" s="72">
        <f t="shared" si="14"/>
        <v>811.14178282050773</v>
      </c>
      <c r="Z25" s="72">
        <f t="shared" si="14"/>
        <v>-497.27411129819149</v>
      </c>
      <c r="AA25" s="72">
        <f t="shared" si="14"/>
        <v>-754.2646264311212</v>
      </c>
      <c r="AB25" s="72">
        <f t="shared" si="14"/>
        <v>-486.58303563821858</v>
      </c>
      <c r="AC25" s="72">
        <f t="shared" si="14"/>
        <v>-502.14973170364874</v>
      </c>
      <c r="AD25" s="72">
        <f t="shared" si="14"/>
        <v>-570.34243471116247</v>
      </c>
      <c r="AE25" s="72">
        <f t="shared" si="14"/>
        <v>-548.79984314217643</v>
      </c>
      <c r="AF25" s="72">
        <f t="shared" si="14"/>
        <v>-619.60576147276663</v>
      </c>
      <c r="AG25" s="72">
        <f t="shared" si="14"/>
        <v>958.31079797184191</v>
      </c>
      <c r="AH25" s="72">
        <f t="shared" si="14"/>
        <v>-441.28427609850252</v>
      </c>
      <c r="AI25" s="72">
        <f t="shared" si="14"/>
        <v>-684.72145538727489</v>
      </c>
      <c r="AJ25" s="72">
        <f t="shared" si="14"/>
        <v>11.969195120664835</v>
      </c>
      <c r="AK25" s="72">
        <f t="shared" ref="AK25:AL25" si="15">+AK15-AK23</f>
        <v>-489.02755125990393</v>
      </c>
      <c r="AL25" s="72">
        <f t="shared" si="15"/>
        <v>-573.11697262282303</v>
      </c>
      <c r="AM25" s="72">
        <f t="shared" ref="AM25:AQ25" si="16">+AM15-AM23</f>
        <v>1694.080162826893</v>
      </c>
      <c r="AN25" s="72">
        <f t="shared" si="16"/>
        <v>-567.01583159366101</v>
      </c>
      <c r="AO25" s="72">
        <f t="shared" si="16"/>
        <v>807.95512030413397</v>
      </c>
      <c r="AP25" s="72">
        <f t="shared" si="16"/>
        <v>-606.58083512492522</v>
      </c>
      <c r="AQ25" s="72">
        <f t="shared" si="16"/>
        <v>-627.28777617559172</v>
      </c>
    </row>
    <row r="26" spans="2:43" ht="15" thickTop="1" x14ac:dyDescent="0.35">
      <c r="E26" s="39">
        <f>+E30</f>
        <v>2784</v>
      </c>
      <c r="F26" s="39">
        <f t="shared" ref="F26:AJ26" si="17">+F30</f>
        <v>1347.1942707741516</v>
      </c>
      <c r="G26" s="39">
        <f t="shared" si="17"/>
        <v>1683.5617469246827</v>
      </c>
      <c r="H26" s="39">
        <f t="shared" si="17"/>
        <v>1383.4582315051898</v>
      </c>
      <c r="I26" s="39">
        <f t="shared" si="17"/>
        <v>1431.6554646358802</v>
      </c>
      <c r="J26" s="39">
        <f t="shared" si="17"/>
        <v>1305.7312476729533</v>
      </c>
      <c r="K26" s="39">
        <f t="shared" si="17"/>
        <v>1863.2521433003899</v>
      </c>
      <c r="L26" s="39">
        <f t="shared" si="17"/>
        <v>1724.5701882359717</v>
      </c>
      <c r="M26" s="39">
        <f t="shared" si="17"/>
        <v>1531.9887826635693</v>
      </c>
      <c r="N26" s="39">
        <f t="shared" si="17"/>
        <v>1557.3158025414225</v>
      </c>
      <c r="O26" s="39">
        <f t="shared" si="17"/>
        <v>1337.1341527570908</v>
      </c>
      <c r="P26" s="39">
        <f t="shared" si="17"/>
        <v>2612.7961912264286</v>
      </c>
      <c r="Q26" s="39">
        <f t="shared" si="17"/>
        <v>8785.1706376286038</v>
      </c>
      <c r="R26" s="39">
        <f t="shared" si="17"/>
        <v>6628.580836164736</v>
      </c>
      <c r="S26" s="39">
        <f t="shared" si="17"/>
        <v>6291.7345453449016</v>
      </c>
      <c r="T26" s="39">
        <f t="shared" si="17"/>
        <v>5959.0538250334903</v>
      </c>
      <c r="U26" s="39">
        <f t="shared" si="17"/>
        <v>5587.3666293258266</v>
      </c>
      <c r="V26" s="39">
        <f t="shared" si="17"/>
        <v>5049.7050154813614</v>
      </c>
      <c r="W26" s="39">
        <f t="shared" si="17"/>
        <v>4552.5869705172436</v>
      </c>
      <c r="X26" s="39">
        <f t="shared" si="17"/>
        <v>4058.8356103412148</v>
      </c>
      <c r="Y26" s="39">
        <f t="shared" si="17"/>
        <v>4869.9773931617228</v>
      </c>
      <c r="Z26" s="39">
        <f t="shared" si="17"/>
        <v>4372.7032818635307</v>
      </c>
      <c r="AA26" s="39">
        <f t="shared" si="17"/>
        <v>3618.4386554324096</v>
      </c>
      <c r="AB26" s="39">
        <f t="shared" si="17"/>
        <v>3131.8556197941912</v>
      </c>
      <c r="AC26" s="39">
        <f t="shared" si="17"/>
        <v>2629.7058880905424</v>
      </c>
      <c r="AD26" s="39">
        <f t="shared" si="17"/>
        <v>2059.3634533793802</v>
      </c>
      <c r="AE26" s="39">
        <f t="shared" si="17"/>
        <v>1510.5636102372036</v>
      </c>
      <c r="AF26" s="39">
        <f t="shared" si="17"/>
        <v>890.95784876443702</v>
      </c>
      <c r="AG26" s="39">
        <f t="shared" si="17"/>
        <v>1849.2686467362789</v>
      </c>
      <c r="AH26" s="39">
        <f t="shared" si="17"/>
        <v>1407.9843706377762</v>
      </c>
      <c r="AI26" s="39">
        <f t="shared" si="17"/>
        <v>723.26291525050135</v>
      </c>
      <c r="AJ26" s="39">
        <f t="shared" si="17"/>
        <v>735.23211037116607</v>
      </c>
      <c r="AK26" s="39">
        <f t="shared" ref="AK26:AL26" si="18">+AK30</f>
        <v>246.20455911126226</v>
      </c>
      <c r="AL26" s="39">
        <f t="shared" si="18"/>
        <v>-326.91241351156077</v>
      </c>
      <c r="AM26" s="39">
        <f t="shared" ref="AM26:AQ26" si="19">+AM30</f>
        <v>1367.1677493153322</v>
      </c>
      <c r="AN26" s="39">
        <f t="shared" si="19"/>
        <v>800.15191772167123</v>
      </c>
      <c r="AO26" s="39">
        <f t="shared" si="19"/>
        <v>1608.1070380258052</v>
      </c>
      <c r="AP26" s="39">
        <f t="shared" si="19"/>
        <v>1001.52620290088</v>
      </c>
      <c r="AQ26" s="39">
        <f t="shared" si="19"/>
        <v>374.23842672528826</v>
      </c>
    </row>
    <row r="28" spans="2:43" x14ac:dyDescent="0.35">
      <c r="B28" s="14" t="s">
        <v>47</v>
      </c>
    </row>
    <row r="29" spans="2:43" s="2" customFormat="1" x14ac:dyDescent="0.35">
      <c r="C29" s="2" t="s">
        <v>20</v>
      </c>
      <c r="D29" s="147">
        <f>+Inputs!E8</f>
        <v>275</v>
      </c>
      <c r="E29" s="147">
        <f>+Inputs!F8</f>
        <v>308</v>
      </c>
      <c r="F29" s="2">
        <f>+Inputs!G8</f>
        <v>250.00000000000023</v>
      </c>
      <c r="G29" s="2">
        <f>+Inputs!H8</f>
        <v>250</v>
      </c>
      <c r="H29" s="2">
        <f>+Inputs!I8</f>
        <v>250</v>
      </c>
      <c r="I29" s="2">
        <f>+Inputs!J8</f>
        <v>250</v>
      </c>
      <c r="J29" s="2">
        <f>+Inputs!K8</f>
        <v>250.00000000000006</v>
      </c>
      <c r="K29" s="2">
        <f>+Inputs!L8</f>
        <v>249.99999999999989</v>
      </c>
      <c r="L29" s="2">
        <f>+Inputs!M8</f>
        <v>249.99999999999997</v>
      </c>
      <c r="M29" s="2">
        <f>+Inputs!N8</f>
        <v>250.00000000000009</v>
      </c>
      <c r="N29" s="2">
        <f>+Inputs!O8</f>
        <v>250.00000000000009</v>
      </c>
      <c r="O29" s="2">
        <f>+Inputs!P8</f>
        <v>249.99999999999997</v>
      </c>
      <c r="P29" s="2">
        <f>+Inputs!Q8</f>
        <v>250.00000000000045</v>
      </c>
      <c r="Q29" s="2">
        <f>+Inputs!R8</f>
        <v>250.00000000000091</v>
      </c>
      <c r="R29" s="2">
        <f>+Inputs!S8</f>
        <v>249.99999999999955</v>
      </c>
      <c r="S29" s="2">
        <f>+Inputs!T8</f>
        <v>250</v>
      </c>
      <c r="T29" s="2">
        <f>+Inputs!U8</f>
        <v>250.00000000000006</v>
      </c>
      <c r="U29" s="2">
        <f>+Inputs!V8</f>
        <v>249.99999999999994</v>
      </c>
      <c r="V29" s="2">
        <f>+Inputs!W8</f>
        <v>249.99999999999994</v>
      </c>
      <c r="W29" s="2">
        <f>+Inputs!X8</f>
        <v>250</v>
      </c>
      <c r="X29" s="2">
        <f>+Inputs!Y8</f>
        <v>250</v>
      </c>
      <c r="Y29" s="2">
        <f>+Inputs!Z8</f>
        <v>249.99999999999977</v>
      </c>
      <c r="Z29" s="2">
        <f>+Inputs!AA8</f>
        <v>250</v>
      </c>
      <c r="AA29" s="2">
        <f>+Inputs!AB8</f>
        <v>250</v>
      </c>
      <c r="AB29" s="2">
        <f>+Inputs!AC8</f>
        <v>250</v>
      </c>
      <c r="AC29" s="2">
        <f>+Inputs!AD8</f>
        <v>249.99999999999994</v>
      </c>
      <c r="AD29" s="2">
        <f>+Inputs!AE8</f>
        <v>249.99999999999994</v>
      </c>
      <c r="AE29" s="2">
        <f>+Inputs!AF8</f>
        <v>249.99999999999994</v>
      </c>
      <c r="AF29" s="2">
        <f>+Inputs!AG8</f>
        <v>249.99999999999994</v>
      </c>
      <c r="AG29" s="2">
        <f>+Inputs!AH8</f>
        <v>249.99999999999989</v>
      </c>
      <c r="AH29" s="2">
        <f>+Inputs!AI8</f>
        <v>250</v>
      </c>
      <c r="AI29" s="2">
        <f>+Inputs!AJ8</f>
        <v>250</v>
      </c>
      <c r="AJ29" s="2">
        <f>+Inputs!AK8</f>
        <v>250.00000000000009</v>
      </c>
      <c r="AK29" s="2">
        <f>+Inputs!AL8</f>
        <v>249.99999999999997</v>
      </c>
      <c r="AL29" s="2">
        <f>+Inputs!AM8</f>
        <v>250</v>
      </c>
      <c r="AM29" s="2">
        <f>+Inputs!AN8</f>
        <v>250</v>
      </c>
      <c r="AN29" s="2">
        <f>+Inputs!AO8</f>
        <v>250</v>
      </c>
      <c r="AO29" s="2">
        <f>+Inputs!AP8</f>
        <v>250</v>
      </c>
      <c r="AP29" s="2">
        <f>+Inputs!AQ8</f>
        <v>250</v>
      </c>
      <c r="AQ29" s="2">
        <f>+Inputs!AR8</f>
        <v>250</v>
      </c>
    </row>
    <row r="30" spans="2:43" s="2" customFormat="1" x14ac:dyDescent="0.35">
      <c r="C30" s="2" t="s">
        <v>21</v>
      </c>
      <c r="D30" s="147">
        <f>+Inputs!E15</f>
        <v>3116</v>
      </c>
      <c r="E30" s="147">
        <f>+Inputs!F15</f>
        <v>2784</v>
      </c>
      <c r="F30" s="2">
        <f>+Inputs!G15</f>
        <v>1347.1942707741516</v>
      </c>
      <c r="G30" s="2">
        <f>+Inputs!H15</f>
        <v>1683.5617469246827</v>
      </c>
      <c r="H30" s="2">
        <f>+Inputs!I15</f>
        <v>1383.4582315051898</v>
      </c>
      <c r="I30" s="2">
        <f>+Inputs!J15</f>
        <v>1431.6554646358802</v>
      </c>
      <c r="J30" s="2">
        <f>+Inputs!K15</f>
        <v>1305.7312476729533</v>
      </c>
      <c r="K30" s="2">
        <f>+Inputs!L15</f>
        <v>1863.2521433003899</v>
      </c>
      <c r="L30" s="2">
        <f>+Inputs!M15</f>
        <v>1724.5701882359717</v>
      </c>
      <c r="M30" s="2">
        <f>+Inputs!N15</f>
        <v>1531.9887826635693</v>
      </c>
      <c r="N30" s="2">
        <f>+Inputs!O15</f>
        <v>1557.3158025414225</v>
      </c>
      <c r="O30" s="2">
        <f>+Inputs!P15</f>
        <v>1337.1341527570908</v>
      </c>
      <c r="P30" s="2">
        <f>+Inputs!Q15</f>
        <v>2612.7961912264286</v>
      </c>
      <c r="Q30" s="2">
        <f>+Inputs!R15</f>
        <v>8785.1706376286038</v>
      </c>
      <c r="R30" s="2">
        <f>+Inputs!S15</f>
        <v>6628.580836164736</v>
      </c>
      <c r="S30" s="2">
        <f>+Inputs!T15</f>
        <v>6291.7345453449016</v>
      </c>
      <c r="T30" s="2">
        <f>+Inputs!U15</f>
        <v>5959.0538250334903</v>
      </c>
      <c r="U30" s="2">
        <f>+Inputs!V15</f>
        <v>5587.3666293258266</v>
      </c>
      <c r="V30" s="2">
        <f>+Inputs!W15</f>
        <v>5049.7050154813614</v>
      </c>
      <c r="W30" s="2">
        <f>+Inputs!X15</f>
        <v>4552.5869705172436</v>
      </c>
      <c r="X30" s="2">
        <f>+Inputs!Y15</f>
        <v>4058.8356103412148</v>
      </c>
      <c r="Y30" s="2">
        <f>+Inputs!Z15</f>
        <v>4869.9773931617228</v>
      </c>
      <c r="Z30" s="2">
        <f>+Inputs!AA15</f>
        <v>4372.7032818635307</v>
      </c>
      <c r="AA30" s="2">
        <f>+Inputs!AB15</f>
        <v>3618.4386554324096</v>
      </c>
      <c r="AB30" s="2">
        <f>+Inputs!AC15</f>
        <v>3131.8556197941912</v>
      </c>
      <c r="AC30" s="2">
        <f>+Inputs!AD15</f>
        <v>2629.7058880905424</v>
      </c>
      <c r="AD30" s="2">
        <f>+Inputs!AE15</f>
        <v>2059.3634533793802</v>
      </c>
      <c r="AE30" s="2">
        <f>+Inputs!AF15</f>
        <v>1510.5636102372036</v>
      </c>
      <c r="AF30" s="2">
        <f>+Inputs!AG15</f>
        <v>890.95784876443702</v>
      </c>
      <c r="AG30" s="2">
        <f>+Inputs!AH15</f>
        <v>1849.2686467362789</v>
      </c>
      <c r="AH30" s="2">
        <f>+Inputs!AI15</f>
        <v>1407.9843706377762</v>
      </c>
      <c r="AI30" s="2">
        <f>+Inputs!AJ15</f>
        <v>723.26291525050135</v>
      </c>
      <c r="AJ30" s="2">
        <f>+Inputs!AK15</f>
        <v>735.23211037116607</v>
      </c>
      <c r="AK30" s="2">
        <f>+Inputs!AL15</f>
        <v>246.20455911126226</v>
      </c>
      <c r="AL30" s="2">
        <f>+Inputs!AM15</f>
        <v>-326.91241351156077</v>
      </c>
      <c r="AM30" s="2">
        <f>+Inputs!AN15</f>
        <v>1367.1677493153322</v>
      </c>
      <c r="AN30" s="2">
        <f>+Inputs!AO15</f>
        <v>800.15191772167123</v>
      </c>
      <c r="AO30" s="2">
        <f>+Inputs!AP15</f>
        <v>1608.1070380258052</v>
      </c>
      <c r="AP30" s="2">
        <f>+Inputs!AQ15</f>
        <v>1001.52620290088</v>
      </c>
      <c r="AQ30" s="2">
        <f>+Inputs!AR15</f>
        <v>374.23842672528826</v>
      </c>
    </row>
    <row r="31" spans="2:43" s="2" customFormat="1" x14ac:dyDescent="0.35">
      <c r="D31" s="147"/>
      <c r="E31" s="147"/>
    </row>
    <row r="32" spans="2:43" s="2" customFormat="1" x14ac:dyDescent="0.35">
      <c r="C32" s="2" t="s">
        <v>48</v>
      </c>
      <c r="D32" s="147">
        <f>+Inputs!E21</f>
        <v>921</v>
      </c>
      <c r="E32" s="147">
        <f>+Inputs!F21</f>
        <v>1172</v>
      </c>
      <c r="F32" s="2">
        <f>+Inputs!G21</f>
        <v>1230.6000000000001</v>
      </c>
      <c r="G32" s="2">
        <f>+Inputs!H21</f>
        <v>1276.7475000000002</v>
      </c>
      <c r="H32" s="2">
        <f>+Inputs!I21</f>
        <v>1113.087728125</v>
      </c>
      <c r="I32" s="2">
        <f>+Inputs!J21</f>
        <v>1146.48035996875</v>
      </c>
      <c r="J32" s="2">
        <f>+Inputs!K21</f>
        <v>1180.8747707678126</v>
      </c>
      <c r="K32" s="2">
        <f>+Inputs!L21</f>
        <v>1216.3010138908471</v>
      </c>
      <c r="L32" s="2">
        <f>+Inputs!M21</f>
        <v>1252.7900443075725</v>
      </c>
      <c r="M32" s="2">
        <f>+Inputs!N21</f>
        <v>1290.3737456367996</v>
      </c>
      <c r="N32" s="2">
        <f>+Inputs!O21</f>
        <v>1329.0849580059037</v>
      </c>
      <c r="O32" s="2">
        <f>+Inputs!P21</f>
        <v>1368.9575067460808</v>
      </c>
      <c r="P32" s="2">
        <f>+Inputs!Q21</f>
        <v>1410.0262319484632</v>
      </c>
      <c r="Q32" s="2">
        <f>+Inputs!R21</f>
        <v>1452.3270189069171</v>
      </c>
      <c r="R32" s="2">
        <f>+Inputs!S21</f>
        <v>1495.8968294741246</v>
      </c>
      <c r="S32" s="2">
        <f>+Inputs!T21</f>
        <v>1540.7737343583483</v>
      </c>
      <c r="T32" s="2">
        <f>+Inputs!U21</f>
        <v>1586.9969463890989</v>
      </c>
      <c r="U32" s="2">
        <f>+Inputs!V21</f>
        <v>1634.606854780772</v>
      </c>
      <c r="V32" s="2">
        <f>+Inputs!W21</f>
        <v>1683.6450604241952</v>
      </c>
      <c r="W32" s="2">
        <f>+Inputs!X21</f>
        <v>1734.1544122369212</v>
      </c>
      <c r="X32" s="2">
        <f>+Inputs!Y21</f>
        <v>1786.1790446040288</v>
      </c>
      <c r="Y32" s="2">
        <f>+Inputs!Z21</f>
        <v>1839.7644159421498</v>
      </c>
      <c r="Z32" s="2">
        <f>+Inputs!AA21</f>
        <v>1894.9573484204143</v>
      </c>
      <c r="AA32" s="2">
        <f>+Inputs!AB21</f>
        <v>1951.8060688730268</v>
      </c>
      <c r="AB32" s="2">
        <f>+Inputs!AC21</f>
        <v>2010.3602509392176</v>
      </c>
      <c r="AC32" s="2">
        <f>+Inputs!AD21</f>
        <v>2070.6710584673942</v>
      </c>
      <c r="AD32" s="2">
        <f>+Inputs!AE21</f>
        <v>2132.7911902214159</v>
      </c>
      <c r="AE32" s="2">
        <f>+Inputs!AF21</f>
        <v>2196.7749259280586</v>
      </c>
      <c r="AF32" s="2">
        <f>+Inputs!AG21</f>
        <v>2262.6781737059005</v>
      </c>
      <c r="AG32" s="2">
        <f>+Inputs!AH21</f>
        <v>2330.5585189170774</v>
      </c>
      <c r="AH32" s="2">
        <f>+Inputs!AI21</f>
        <v>2400.47527448459</v>
      </c>
      <c r="AI32" s="2">
        <f>+Inputs!AJ21</f>
        <v>2472.489532719128</v>
      </c>
      <c r="AJ32" s="2">
        <f>+Inputs!AK21</f>
        <v>2031.6642187007019</v>
      </c>
      <c r="AK32" s="2">
        <f>+Inputs!AL21</f>
        <v>2092.614145261723</v>
      </c>
      <c r="AL32" s="2">
        <f>+Inputs!AM21</f>
        <v>2155.3925696195747</v>
      </c>
      <c r="AM32" s="2">
        <f>+Inputs!AN21</f>
        <v>1808.054346708162</v>
      </c>
      <c r="AN32" s="2">
        <f>+Inputs!AO21</f>
        <v>1862.295977109407</v>
      </c>
      <c r="AO32" s="2">
        <f>+Inputs!AP21</f>
        <v>0</v>
      </c>
      <c r="AP32" s="2">
        <f>+Inputs!AQ21</f>
        <v>0</v>
      </c>
      <c r="AQ32" s="2">
        <f>+Inputs!AR21</f>
        <v>0</v>
      </c>
    </row>
    <row r="33" spans="3:43" s="2" customFormat="1" x14ac:dyDescent="0.35">
      <c r="C33" s="2" t="s">
        <v>7</v>
      </c>
      <c r="D33" s="147">
        <f>+Inputs!E40*Inputs!E4+Inputs!E32*Inputs!E4</f>
        <v>430.1</v>
      </c>
      <c r="E33" s="147">
        <f>+Inputs!F40*Inputs!F4+Inputs!F32*Inputs!F4</f>
        <v>552.30000000000007</v>
      </c>
      <c r="F33" s="2">
        <f>+Inputs!G40*Inputs!G4+Inputs!G32*Inputs!G4</f>
        <v>784.09300000000007</v>
      </c>
      <c r="G33" s="2">
        <f>+Inputs!H40*Inputs!H4+Inputs!H32*Inputs!H4</f>
        <v>952.50210000000027</v>
      </c>
      <c r="H33" s="2">
        <f>+Inputs!I40*Inputs!I4+Inputs!I32*Inputs!I4</f>
        <v>1165.1272050000005</v>
      </c>
      <c r="I33" s="2">
        <f>+Inputs!J40*Inputs!J4+Inputs!J32*Inputs!J4</f>
        <v>1361.9835652500005</v>
      </c>
      <c r="J33" s="2">
        <f>+Inputs!K40*Inputs!K4+Inputs!K32*Inputs!K4</f>
        <v>1256.8327435125004</v>
      </c>
      <c r="K33" s="2">
        <f>+Inputs!L40*Inputs!L4+Inputs!L32*Inputs!L4</f>
        <v>1146.4243806881254</v>
      </c>
      <c r="L33" s="2">
        <f>+Inputs!M40*Inputs!M4+Inputs!M32*Inputs!M4</f>
        <v>1030.4955997225316</v>
      </c>
      <c r="M33" s="2">
        <f>+Inputs!N40*Inputs!N4+Inputs!N32*Inputs!N4</f>
        <v>908.77037970865842</v>
      </c>
      <c r="N33" s="2">
        <f>+Inputs!O40*Inputs!O4+Inputs!O32*Inputs!O4</f>
        <v>634.94484812833616</v>
      </c>
      <c r="O33" s="2">
        <f>+Inputs!P40*Inputs!P4+Inputs!P32*Inputs!P4</f>
        <v>551.19209053475299</v>
      </c>
      <c r="P33" s="2">
        <f>+Inputs!Q40*Inputs!Q4+Inputs!Q32*Inputs!Q4</f>
        <v>463.25169506149064</v>
      </c>
      <c r="Q33" s="2">
        <f>+Inputs!R40*Inputs!R4+Inputs!R32*Inputs!R4</f>
        <v>370.91427981456519</v>
      </c>
      <c r="R33" s="2">
        <f>+Inputs!S40*Inputs!S4+Inputs!S32*Inputs!S4</f>
        <v>273.95999380529344</v>
      </c>
      <c r="S33" s="2">
        <f>+Inputs!T40*Inputs!T4+Inputs!T32*Inputs!T4</f>
        <v>172.15799349555806</v>
      </c>
      <c r="T33" s="2">
        <f>+Inputs!U40*Inputs!U4+Inputs!U32*Inputs!U4</f>
        <v>0</v>
      </c>
      <c r="U33" s="2">
        <f>+Inputs!V40*Inputs!V4+Inputs!V32*Inputs!V4</f>
        <v>0</v>
      </c>
      <c r="V33" s="2">
        <f>+Inputs!W40*Inputs!W4+Inputs!W32*Inputs!W4</f>
        <v>0</v>
      </c>
      <c r="W33" s="2">
        <f>+Inputs!X40*Inputs!X4+Inputs!X32*Inputs!X4</f>
        <v>0</v>
      </c>
      <c r="X33" s="2">
        <f>+Inputs!Y40*Inputs!Y4+Inputs!Y32*Inputs!Y4</f>
        <v>0</v>
      </c>
      <c r="Y33" s="2">
        <f>+Inputs!Z40*Inputs!Z4+Inputs!Z32*Inputs!Z4</f>
        <v>0</v>
      </c>
      <c r="Z33" s="2">
        <f>+Inputs!AA40*Inputs!AA4+Inputs!AA32*Inputs!AA4</f>
        <v>0</v>
      </c>
      <c r="AA33" s="2">
        <f>+Inputs!AB40*Inputs!AB4+Inputs!AB32*Inputs!AB4</f>
        <v>0</v>
      </c>
      <c r="AB33" s="2">
        <f>+Inputs!AC40*Inputs!AC4+Inputs!AC32*Inputs!AC4</f>
        <v>0</v>
      </c>
      <c r="AC33" s="2">
        <f>+Inputs!AD40*Inputs!AD4+Inputs!AD32*Inputs!AD4</f>
        <v>0</v>
      </c>
      <c r="AD33" s="2">
        <f>+Inputs!AE40*Inputs!AE4+Inputs!AE32*Inputs!AE4</f>
        <v>0</v>
      </c>
      <c r="AE33" s="2">
        <f>+Inputs!AF40*Inputs!AF4+Inputs!AF32*Inputs!AF4</f>
        <v>0</v>
      </c>
      <c r="AF33" s="2">
        <f>+Inputs!AG40*Inputs!AG4+Inputs!AG32*Inputs!AG4</f>
        <v>0</v>
      </c>
      <c r="AG33" s="2">
        <f>+Inputs!AH40*Inputs!AH4+Inputs!AH32*Inputs!AH4</f>
        <v>0</v>
      </c>
      <c r="AH33" s="2">
        <f>+Inputs!AI40*Inputs!AI4+Inputs!AI32*Inputs!AI4</f>
        <v>0</v>
      </c>
      <c r="AI33" s="2">
        <f>+Inputs!AJ40*Inputs!AJ4+Inputs!AJ32*Inputs!AJ4</f>
        <v>0</v>
      </c>
      <c r="AJ33" s="2">
        <f>+Inputs!AK40*Inputs!AK4+Inputs!AK32*Inputs!AK4</f>
        <v>0</v>
      </c>
      <c r="AK33" s="2">
        <f>+Inputs!AL40*Inputs!AL4+Inputs!AL32*Inputs!AL4</f>
        <v>0</v>
      </c>
      <c r="AL33" s="2">
        <f>+Inputs!AM40*Inputs!AM4+Inputs!AM32*Inputs!AM4</f>
        <v>0</v>
      </c>
      <c r="AM33" s="2">
        <f>+Inputs!AN40*Inputs!AN4+Inputs!AN32*Inputs!AN4</f>
        <v>0</v>
      </c>
      <c r="AN33" s="2">
        <f>+Inputs!AO40*Inputs!AO4+Inputs!AO32*Inputs!AO4</f>
        <v>0</v>
      </c>
      <c r="AO33" s="2">
        <f>+Inputs!AP40*Inputs!AP4+Inputs!AP32*Inputs!AP4</f>
        <v>0</v>
      </c>
      <c r="AP33" s="2">
        <f>+Inputs!AQ40*Inputs!AQ4+Inputs!AQ32*Inputs!AQ4</f>
        <v>0</v>
      </c>
      <c r="AQ33" s="2">
        <f>+Inputs!AR40*Inputs!AR4+Inputs!AR32*Inputs!AR4</f>
        <v>0</v>
      </c>
    </row>
    <row r="34" spans="3:43" s="2" customFormat="1" x14ac:dyDescent="0.35">
      <c r="D34" s="147"/>
      <c r="E34" s="147"/>
    </row>
    <row r="35" spans="3:43" s="2" customFormat="1" x14ac:dyDescent="0.35">
      <c r="C35" s="2" t="s">
        <v>111</v>
      </c>
      <c r="D35" s="147">
        <f>+Inputs!E49/Inputs!E3</f>
        <v>0</v>
      </c>
      <c r="E35" s="147">
        <f>+Inputs!F49/Inputs!F3</f>
        <v>0</v>
      </c>
      <c r="F35" s="2">
        <f>+Inputs!G49/Inputs!G3</f>
        <v>13.157894736842106</v>
      </c>
      <c r="G35" s="2">
        <f>+Inputs!H49/Inputs!H3</f>
        <v>12.812499999999998</v>
      </c>
      <c r="H35" s="2">
        <f>+Inputs!I49/Inputs!I3</f>
        <v>13.100781249999997</v>
      </c>
      <c r="I35" s="2">
        <f>+Inputs!J49/Inputs!J3</f>
        <v>13.362796874999997</v>
      </c>
      <c r="J35" s="2">
        <f>+Inputs!K49/Inputs!K3</f>
        <v>13.630052812499997</v>
      </c>
      <c r="K35" s="2">
        <f>+Inputs!L49/Inputs!L3</f>
        <v>13.902653868749997</v>
      </c>
      <c r="L35" s="2">
        <f>+Inputs!M49/Inputs!M3</f>
        <v>0</v>
      </c>
      <c r="M35" s="2">
        <f>+Inputs!N49/Inputs!N3</f>
        <v>0</v>
      </c>
      <c r="N35" s="2">
        <f>+Inputs!O49/Inputs!O3</f>
        <v>0</v>
      </c>
      <c r="O35" s="2">
        <f>+Inputs!P49/Inputs!P3</f>
        <v>0</v>
      </c>
      <c r="P35" s="2">
        <f>+Inputs!Q49/Inputs!Q3</f>
        <v>0</v>
      </c>
      <c r="Q35" s="2">
        <f>+Inputs!R49/Inputs!R3</f>
        <v>0</v>
      </c>
      <c r="R35" s="2">
        <f>+Inputs!S49/Inputs!S3</f>
        <v>0</v>
      </c>
      <c r="S35" s="2">
        <f>+Inputs!T49/Inputs!T3</f>
        <v>0</v>
      </c>
      <c r="T35" s="2">
        <f>+Inputs!U49/Inputs!U3</f>
        <v>0</v>
      </c>
      <c r="U35" s="2">
        <f>+Inputs!V49/Inputs!V3</f>
        <v>0</v>
      </c>
      <c r="V35" s="2">
        <f>+Inputs!W49/Inputs!W3</f>
        <v>0</v>
      </c>
      <c r="W35" s="2">
        <f>+Inputs!X49/Inputs!X3</f>
        <v>0</v>
      </c>
      <c r="X35" s="2">
        <f>+Inputs!Y49/Inputs!Y3</f>
        <v>0</v>
      </c>
      <c r="Y35" s="2">
        <f>+Inputs!Z49/Inputs!Z3</f>
        <v>0</v>
      </c>
      <c r="Z35" s="2">
        <f>+Inputs!AA49/Inputs!AA3</f>
        <v>0</v>
      </c>
      <c r="AA35" s="2">
        <f>+Inputs!AB49/Inputs!AB3</f>
        <v>0</v>
      </c>
      <c r="AB35" s="2">
        <f>+Inputs!AC49/Inputs!AC3</f>
        <v>0</v>
      </c>
      <c r="AC35" s="2">
        <f>+Inputs!AD49/Inputs!AD3</f>
        <v>0</v>
      </c>
      <c r="AD35" s="2">
        <f>+Inputs!AE49/Inputs!AE3</f>
        <v>0</v>
      </c>
      <c r="AE35" s="2">
        <f>+Inputs!AF49/Inputs!AF3</f>
        <v>0</v>
      </c>
      <c r="AF35" s="2">
        <f>+Inputs!AG49/Inputs!AG3</f>
        <v>0</v>
      </c>
      <c r="AG35" s="2">
        <f>+Inputs!AH49/Inputs!AH3</f>
        <v>0</v>
      </c>
      <c r="AH35" s="2">
        <f>+Inputs!AI49/Inputs!AI3</f>
        <v>0</v>
      </c>
      <c r="AI35" s="2">
        <f>+Inputs!AJ49/Inputs!AJ3</f>
        <v>0</v>
      </c>
      <c r="AJ35" s="2">
        <f>+Inputs!AK49/Inputs!AK3</f>
        <v>0</v>
      </c>
      <c r="AK35" s="2">
        <f>+Inputs!AL49/Inputs!AL3</f>
        <v>0</v>
      </c>
      <c r="AL35" s="2">
        <f>+Inputs!AM49/Inputs!AM3</f>
        <v>0</v>
      </c>
      <c r="AM35" s="2">
        <f>+Inputs!AN49/Inputs!AN3</f>
        <v>0</v>
      </c>
      <c r="AN35" s="2">
        <f>+Inputs!AO49/Inputs!AO3</f>
        <v>0</v>
      </c>
      <c r="AO35" s="2">
        <f>+Inputs!AP49/Inputs!AP3</f>
        <v>0</v>
      </c>
      <c r="AP35" s="2">
        <f>+Inputs!AQ49/Inputs!AQ3</f>
        <v>0</v>
      </c>
      <c r="AQ35" s="2">
        <f>+Inputs!AR49/Inputs!AR3</f>
        <v>0</v>
      </c>
    </row>
    <row r="36" spans="3:43" s="2" customFormat="1" x14ac:dyDescent="0.35">
      <c r="C36" s="2" t="s">
        <v>50</v>
      </c>
      <c r="D36" s="147">
        <f>+Inputs!E60/Inputs!E3</f>
        <v>5000</v>
      </c>
      <c r="E36" s="147">
        <f>+Inputs!F60/Inputs!F3</f>
        <v>5680.1470588235297</v>
      </c>
      <c r="F36" s="2">
        <f>+Inputs!G60/Inputs!G3</f>
        <v>6205.4111842105267</v>
      </c>
      <c r="G36" s="2">
        <f>+Inputs!H60/Inputs!H3</f>
        <v>5968.8298828124998</v>
      </c>
      <c r="H36" s="2">
        <f>+Inputs!I60/Inputs!I3</f>
        <v>6035.97921899414</v>
      </c>
      <c r="I36" s="2">
        <f>+Inputs!J60/Inputs!J3</f>
        <v>6096.3390111840818</v>
      </c>
      <c r="J36" s="2">
        <f>+Inputs!K60/Inputs!K3</f>
        <v>6157.3024012959222</v>
      </c>
      <c r="K36" s="2">
        <f>+Inputs!L60/Inputs!L3</f>
        <v>6218.8754253088819</v>
      </c>
      <c r="L36" s="2">
        <f>+Inputs!M60/Inputs!M3</f>
        <v>6281.0641795619704</v>
      </c>
      <c r="M36" s="2">
        <f>+Inputs!N60/Inputs!N3</f>
        <v>6343.87482135759</v>
      </c>
      <c r="N36" s="2">
        <f>+Inputs!O60/Inputs!O3</f>
        <v>6407.3135695711662</v>
      </c>
      <c r="O36" s="2">
        <f>+Inputs!P60/Inputs!P3</f>
        <v>6471.3867052668784</v>
      </c>
      <c r="P36" s="2">
        <f>+Inputs!Q60/Inputs!Q3</f>
        <v>6536.1005723195476</v>
      </c>
      <c r="Q36" s="2">
        <f>+Inputs!R60/Inputs!R3</f>
        <v>0</v>
      </c>
      <c r="R36" s="2">
        <f>+Inputs!S60/Inputs!S3</f>
        <v>0</v>
      </c>
      <c r="S36" s="2">
        <f>+Inputs!T60/Inputs!T3</f>
        <v>0</v>
      </c>
      <c r="T36" s="2">
        <f>+Inputs!U60/Inputs!U3</f>
        <v>0</v>
      </c>
      <c r="U36" s="2">
        <f>+Inputs!V60/Inputs!V3</f>
        <v>0</v>
      </c>
      <c r="V36" s="2">
        <f>+Inputs!W60/Inputs!W3</f>
        <v>0</v>
      </c>
      <c r="W36" s="2">
        <f>+Inputs!X60/Inputs!X3</f>
        <v>0</v>
      </c>
      <c r="X36" s="2">
        <f>+Inputs!Y60/Inputs!Y3</f>
        <v>0</v>
      </c>
      <c r="Y36" s="2">
        <f>+Inputs!Z60/Inputs!Z3</f>
        <v>0</v>
      </c>
      <c r="Z36" s="2">
        <f>+Inputs!AA60/Inputs!AA3</f>
        <v>0</v>
      </c>
      <c r="AA36" s="2">
        <f>+Inputs!AB60/Inputs!AB3</f>
        <v>0</v>
      </c>
      <c r="AB36" s="2">
        <f>+Inputs!AC60/Inputs!AC3</f>
        <v>0</v>
      </c>
      <c r="AC36" s="2">
        <f>+Inputs!AD60/Inputs!AD3</f>
        <v>0</v>
      </c>
      <c r="AD36" s="2">
        <f>+Inputs!AE60/Inputs!AE3</f>
        <v>0</v>
      </c>
      <c r="AE36" s="2">
        <f>+Inputs!AF60/Inputs!AF3</f>
        <v>0</v>
      </c>
      <c r="AF36" s="2">
        <f>+Inputs!AG60/Inputs!AG3</f>
        <v>0</v>
      </c>
      <c r="AG36" s="2">
        <f>+Inputs!AH60/Inputs!AH3</f>
        <v>0</v>
      </c>
      <c r="AH36" s="2">
        <f>+Inputs!AI60/Inputs!AI3</f>
        <v>0</v>
      </c>
      <c r="AI36" s="2">
        <f>+Inputs!AJ60/Inputs!AJ3</f>
        <v>0</v>
      </c>
      <c r="AJ36" s="2">
        <f>+Inputs!AK60/Inputs!AK3</f>
        <v>0</v>
      </c>
      <c r="AK36" s="2">
        <f>+Inputs!AL60/Inputs!AL3</f>
        <v>0</v>
      </c>
      <c r="AL36" s="2">
        <f>+Inputs!AM60/Inputs!AM3</f>
        <v>0</v>
      </c>
      <c r="AM36" s="2">
        <f>+Inputs!AN60/Inputs!AN3</f>
        <v>0</v>
      </c>
      <c r="AN36" s="2">
        <f>+Inputs!AO60/Inputs!AO3</f>
        <v>0</v>
      </c>
      <c r="AO36" s="2">
        <f>+Inputs!AP60/Inputs!AP3</f>
        <v>0</v>
      </c>
      <c r="AP36" s="2">
        <f>+Inputs!AQ60/Inputs!AQ3</f>
        <v>0</v>
      </c>
      <c r="AQ36" s="2">
        <f>+Inputs!AR60/Inputs!AR3</f>
        <v>0</v>
      </c>
    </row>
    <row r="37" spans="3:43" s="2" customFormat="1" x14ac:dyDescent="0.35">
      <c r="D37" s="147"/>
      <c r="E37" s="147"/>
    </row>
    <row r="38" spans="3:43" s="2" customFormat="1" x14ac:dyDescent="0.35">
      <c r="C38" s="2" t="s">
        <v>49</v>
      </c>
      <c r="D38" s="147">
        <f>+(Inputs!E70+Inputs!E79+Inputs!E87)*Inputs!E4</f>
        <v>1166</v>
      </c>
      <c r="E38" s="147">
        <f>+(Inputs!G70+Inputs!G79+Inputs!G87)*Inputs!F4</f>
        <v>1215.396</v>
      </c>
      <c r="F38" s="2">
        <f>+(Inputs!G70+Inputs!G79+Inputs!G87)*Inputs!G4</f>
        <v>1331.1479999999999</v>
      </c>
      <c r="G38" s="2">
        <f>+(Inputs!H70+Inputs!H79+Inputs!H87)*Inputs!H4</f>
        <v>422.70228000000009</v>
      </c>
      <c r="H38" s="2">
        <f>+(Inputs!I70+Inputs!I79+Inputs!I87)*Inputs!I4</f>
        <v>433.269837</v>
      </c>
      <c r="I38" s="2">
        <f>+(Inputs!J70+Inputs!J79+Inputs!J87)*Inputs!J4</f>
        <v>0</v>
      </c>
      <c r="J38" s="2">
        <f>+(Inputs!K70+Inputs!K79+Inputs!K87)*Inputs!K4</f>
        <v>0</v>
      </c>
      <c r="K38" s="2">
        <f>+(Inputs!L70+Inputs!L79+Inputs!L87)*Inputs!L4</f>
        <v>0</v>
      </c>
      <c r="L38" s="2">
        <f>+(Inputs!M70+Inputs!M79+Inputs!M87)*Inputs!M4</f>
        <v>0</v>
      </c>
      <c r="M38" s="2">
        <f>+(Inputs!N70+Inputs!N79+Inputs!N87)*Inputs!N4</f>
        <v>0</v>
      </c>
      <c r="N38" s="2">
        <f>+(Inputs!O70+Inputs!O79+Inputs!O87)*Inputs!O4</f>
        <v>0</v>
      </c>
      <c r="O38" s="2">
        <f>+(Inputs!P70+Inputs!P79+Inputs!P87)*Inputs!P4</f>
        <v>0</v>
      </c>
      <c r="P38" s="2">
        <f>+(Inputs!Q70+Inputs!Q79+Inputs!Q87)*Inputs!Q4</f>
        <v>0</v>
      </c>
      <c r="Q38" s="2">
        <f>+(Inputs!R70+Inputs!R79+Inputs!R87)*Inputs!R4</f>
        <v>0</v>
      </c>
      <c r="R38" s="2">
        <f>+(Inputs!S70+Inputs!S79+Inputs!S87)*Inputs!S4</f>
        <v>0</v>
      </c>
      <c r="S38" s="2">
        <f>+(Inputs!T70+Inputs!T79+Inputs!T87)*Inputs!T4</f>
        <v>0</v>
      </c>
      <c r="T38" s="2">
        <f>+(Inputs!U70+Inputs!U79+Inputs!U87)*Inputs!U4</f>
        <v>0</v>
      </c>
      <c r="U38" s="2">
        <f>+(Inputs!V70+Inputs!V79+Inputs!V87)*Inputs!V4</f>
        <v>0</v>
      </c>
      <c r="V38" s="2">
        <f>+(Inputs!W70+Inputs!W79+Inputs!W87)*Inputs!W4</f>
        <v>0</v>
      </c>
      <c r="W38" s="2">
        <f>+(Inputs!X70+Inputs!X79+Inputs!X87)*Inputs!X4</f>
        <v>0</v>
      </c>
      <c r="X38" s="2">
        <f>+(Inputs!Y70+Inputs!Y79+Inputs!Y87)*Inputs!Y4</f>
        <v>0</v>
      </c>
      <c r="Y38" s="2">
        <f>+(Inputs!Z70+Inputs!Z79+Inputs!Z87)*Inputs!Z4</f>
        <v>0</v>
      </c>
      <c r="Z38" s="2">
        <f>+(Inputs!AA70+Inputs!AA79+Inputs!AA87)*Inputs!AA4</f>
        <v>0</v>
      </c>
      <c r="AA38" s="2">
        <f>+(Inputs!AB70+Inputs!AB79+Inputs!AB87)*Inputs!AB4</f>
        <v>0</v>
      </c>
      <c r="AB38" s="2">
        <f>+(Inputs!AC70+Inputs!AC79+Inputs!AC87)*Inputs!AC4</f>
        <v>0</v>
      </c>
      <c r="AC38" s="2">
        <f>+(Inputs!AD70+Inputs!AD79+Inputs!AD87)*Inputs!AD4</f>
        <v>0</v>
      </c>
      <c r="AD38" s="2">
        <f>+(Inputs!AE70+Inputs!AE79+Inputs!AE87)*Inputs!AE4</f>
        <v>0</v>
      </c>
      <c r="AE38" s="2">
        <f>+(Inputs!AF70+Inputs!AF79+Inputs!AF87)*Inputs!AF4</f>
        <v>0</v>
      </c>
      <c r="AF38" s="2">
        <f>+(Inputs!AG70+Inputs!AG79+Inputs!AG87)*Inputs!AG4</f>
        <v>0</v>
      </c>
      <c r="AG38" s="2">
        <f>+(Inputs!AH70+Inputs!AH79+Inputs!AH87)*Inputs!AH4</f>
        <v>0</v>
      </c>
      <c r="AH38" s="2">
        <f>+(Inputs!AI70+Inputs!AI79+Inputs!AI87)*Inputs!AI4</f>
        <v>0</v>
      </c>
      <c r="AI38" s="2">
        <f>+(Inputs!AJ70+Inputs!AJ79+Inputs!AJ87)*Inputs!AJ4</f>
        <v>0</v>
      </c>
      <c r="AJ38" s="2">
        <f>+(Inputs!AK70+Inputs!AK79+Inputs!AK87)*Inputs!AK4</f>
        <v>0</v>
      </c>
      <c r="AK38" s="2">
        <f>+(Inputs!AL70+Inputs!AL79+Inputs!AL87)*Inputs!AL4</f>
        <v>0</v>
      </c>
      <c r="AL38" s="2">
        <f>+(Inputs!AM70+Inputs!AM79+Inputs!AM87)*Inputs!AM4</f>
        <v>0</v>
      </c>
      <c r="AM38" s="2">
        <f>+(Inputs!AN70+Inputs!AN79+Inputs!AN87)*Inputs!AN4</f>
        <v>0</v>
      </c>
      <c r="AN38" s="2">
        <f>+(Inputs!AO70+Inputs!AO79+Inputs!AO87)*Inputs!AO4</f>
        <v>0</v>
      </c>
      <c r="AO38" s="2">
        <f>+(Inputs!AP70+Inputs!AP79+Inputs!AP87)*Inputs!AP4</f>
        <v>0</v>
      </c>
      <c r="AP38" s="2">
        <f>+(Inputs!AQ70+Inputs!AQ79+Inputs!AQ87)*Inputs!AQ4</f>
        <v>0</v>
      </c>
      <c r="AQ38" s="2">
        <f>+(Inputs!AR70+Inputs!AR79+Inputs!AR87)*Inputs!AR4</f>
        <v>0</v>
      </c>
    </row>
    <row r="39" spans="3:43" s="2" customFormat="1" x14ac:dyDescent="0.35">
      <c r="C39" s="2" t="s">
        <v>55</v>
      </c>
      <c r="D39" s="147">
        <f>+Inputs!E96+Inputs!E104+Inputs!E122</f>
        <v>1650</v>
      </c>
      <c r="E39" s="147">
        <f>+Inputs!F96+Inputs!F104+Inputs!F122</f>
        <v>1463</v>
      </c>
      <c r="F39" s="2">
        <f>+Inputs!G96+Inputs!G104+Inputs!G122</f>
        <v>1521.52</v>
      </c>
      <c r="G39" s="2">
        <f>+Inputs!H96+Inputs!H104+Inputs!H122</f>
        <v>2574.7731999999996</v>
      </c>
      <c r="H39" s="2">
        <f>+Inputs!I96+Inputs!I104+Inputs!I122</f>
        <v>2639.1425299999996</v>
      </c>
      <c r="I39" s="2">
        <f>+Inputs!J96+Inputs!J104+Inputs!J122</f>
        <v>2698.5232369249998</v>
      </c>
      <c r="J39" s="2">
        <f>+Inputs!K96+Inputs!K104+Inputs!K122</f>
        <v>2752.4937016634995</v>
      </c>
      <c r="K39" s="2">
        <f>+Inputs!L96+Inputs!L104+Inputs!L122</f>
        <v>2146.7442220109997</v>
      </c>
      <c r="L39" s="2">
        <f>+Inputs!M96+Inputs!M104+Inputs!M122</f>
        <v>2189.6791064512199</v>
      </c>
      <c r="M39" s="2">
        <f>+Inputs!N96+Inputs!N104+Inputs!N122</f>
        <v>2233.4726885802443</v>
      </c>
      <c r="N39" s="2">
        <f>+Inputs!O96+Inputs!O104+Inputs!O122</f>
        <v>2278.1421423518491</v>
      </c>
      <c r="O39" s="2">
        <f>+Inputs!P96+Inputs!P104+Inputs!P122</f>
        <v>2323.7049851988859</v>
      </c>
      <c r="P39" s="2">
        <f>+Inputs!Q96+Inputs!Q104+Inputs!Q122</f>
        <v>2370.1790849028639</v>
      </c>
      <c r="Q39" s="2">
        <f>+Inputs!R96+Inputs!R104+Inputs!R122</f>
        <v>2417.5826666009216</v>
      </c>
      <c r="R39" s="2">
        <f>+Inputs!S96+Inputs!S104+Inputs!S122</f>
        <v>2465.9343199329396</v>
      </c>
      <c r="S39" s="2">
        <f>+Inputs!T96+Inputs!T104+Inputs!T122</f>
        <v>2515.253006331599</v>
      </c>
      <c r="T39" s="2">
        <f>+Inputs!U96+Inputs!U104+Inputs!U122</f>
        <v>2565.5580664582308</v>
      </c>
      <c r="U39" s="2">
        <f>+Inputs!V96+Inputs!V104+Inputs!V122</f>
        <v>2616.8692277873952</v>
      </c>
      <c r="V39" s="2">
        <f>+Inputs!W96+Inputs!W104+Inputs!W122</f>
        <v>2669.2066123431432</v>
      </c>
      <c r="W39" s="2">
        <f>+Inputs!X96+Inputs!X104+Inputs!X122</f>
        <v>2722.5907445900066</v>
      </c>
      <c r="X39" s="2">
        <f>+Inputs!Y96+Inputs!Y104+Inputs!Y122</f>
        <v>2777.0425594818066</v>
      </c>
      <c r="Y39" s="2">
        <f>+Inputs!Z96+Inputs!Z104+Inputs!Z122</f>
        <v>1438.76521804153</v>
      </c>
      <c r="Z39" s="2">
        <f>+Inputs!AA96+Inputs!AA104+Inputs!AA122</f>
        <v>1467.5405224023607</v>
      </c>
      <c r="AA39" s="2">
        <f>+Inputs!AB96+Inputs!AB104+Inputs!AB122</f>
        <v>1496.8913328504079</v>
      </c>
      <c r="AB39" s="2">
        <f>+Inputs!AC96+Inputs!AC104+Inputs!AC122</f>
        <v>1526.8291595074161</v>
      </c>
      <c r="AC39" s="2">
        <f>+Inputs!AD96+Inputs!AD104+Inputs!AD122</f>
        <v>1557.3657426975644</v>
      </c>
      <c r="AD39" s="2">
        <f>+Inputs!AE96+Inputs!AE104+Inputs!AE122</f>
        <v>1588.5130575515157</v>
      </c>
      <c r="AE39" s="2">
        <f>+Inputs!AF96+Inputs!AF104+Inputs!AF122</f>
        <v>1620.283318702546</v>
      </c>
      <c r="AF39" s="2">
        <f>+Inputs!AG96+Inputs!AG104+Inputs!AG122</f>
        <v>1652.688985076597</v>
      </c>
      <c r="AG39" s="2">
        <f>+Inputs!AH96+Inputs!AH104+Inputs!AH122</f>
        <v>1685.742764778129</v>
      </c>
      <c r="AH39" s="2">
        <f>+Inputs!AI96+Inputs!AI104+Inputs!AI122</f>
        <v>1719.4576200736915</v>
      </c>
      <c r="AI39" s="2">
        <f>+Inputs!AJ96+Inputs!AJ104+Inputs!AJ122</f>
        <v>1753.8467724751654</v>
      </c>
      <c r="AJ39" s="2">
        <f>+Inputs!AK96+Inputs!AK104+Inputs!AK122</f>
        <v>1788.9237079246686</v>
      </c>
      <c r="AK39" s="2">
        <f>+Inputs!AL96+Inputs!AL104+Inputs!AL122</f>
        <v>1824.7021820831621</v>
      </c>
      <c r="AL39" s="2">
        <f>+Inputs!AM96+Inputs!AM104+Inputs!AM122</f>
        <v>1861.1962257248254</v>
      </c>
      <c r="AM39" s="2">
        <f>+Inputs!AN96+Inputs!AN104+Inputs!AN122</f>
        <v>0</v>
      </c>
      <c r="AN39" s="2">
        <f>+Inputs!AO96+Inputs!AO104+Inputs!AO122</f>
        <v>0</v>
      </c>
      <c r="AO39" s="2">
        <f>+Inputs!AP96+Inputs!AP104+Inputs!AP122</f>
        <v>0</v>
      </c>
      <c r="AP39" s="2">
        <f>+Inputs!AQ96+Inputs!AQ104+Inputs!AQ122</f>
        <v>0</v>
      </c>
      <c r="AQ39" s="2">
        <f>+Inputs!AR96+Inputs!AR104+Inputs!AR122</f>
        <v>0</v>
      </c>
    </row>
    <row r="40" spans="3:43" s="2" customFormat="1" x14ac:dyDescent="0.35">
      <c r="C40" s="2" t="s">
        <v>56</v>
      </c>
      <c r="D40" s="147">
        <f>+Inputs!E131/Inputs!E3+Inputs!E139/Inputs!E3</f>
        <v>1000</v>
      </c>
      <c r="E40" s="147">
        <f>+Inputs!F131/Inputs!F3+Inputs!F139/Inputs!F3</f>
        <v>1158.0882352941176</v>
      </c>
      <c r="F40" s="2">
        <f>+Inputs!G131/Inputs!G3+Inputs!G139/Inputs!G3</f>
        <v>1293.1578947368425</v>
      </c>
      <c r="G40" s="2">
        <f>+Inputs!H131/Inputs!H3+Inputs!H139/Inputs!H3</f>
        <v>1271.4974999999999</v>
      </c>
      <c r="H40" s="2">
        <f>+Inputs!I131/Inputs!I3+Inputs!I139/Inputs!I3</f>
        <v>1303.2849375000001</v>
      </c>
      <c r="I40" s="2">
        <f>+Inputs!J131/Inputs!J3+Inputs!J139/Inputs!J3</f>
        <v>1332.6088485937498</v>
      </c>
      <c r="J40" s="2">
        <f>+Inputs!K131/Inputs!K3+Inputs!K139/Inputs!K3</f>
        <v>1359.2610255656248</v>
      </c>
      <c r="K40" s="2">
        <f>+Inputs!L131/Inputs!L3+Inputs!L139/Inputs!L3</f>
        <v>1386.4462460769373</v>
      </c>
      <c r="L40" s="2">
        <f>+Inputs!M131/Inputs!M3+Inputs!M139/Inputs!M3</f>
        <v>1414.175170998476</v>
      </c>
      <c r="M40" s="2">
        <f>+Inputs!N131/Inputs!N3+Inputs!N139/Inputs!N3</f>
        <v>1442.4586744184455</v>
      </c>
      <c r="N40" s="2">
        <f>+Inputs!O131/Inputs!O3+Inputs!O139/Inputs!O3</f>
        <v>1471.3078479068145</v>
      </c>
      <c r="O40" s="2">
        <f>+Inputs!P131/Inputs!P3+Inputs!P139/Inputs!P3</f>
        <v>1500.7340048649507</v>
      </c>
      <c r="P40" s="2">
        <f>+Inputs!Q131/Inputs!Q3+Inputs!Q139/Inputs!Q3</f>
        <v>1173.5739918043914</v>
      </c>
      <c r="Q40" s="2">
        <f>+Inputs!R131/Inputs!R3+Inputs!R139/Inputs!R3</f>
        <v>1197.0454716404795</v>
      </c>
      <c r="R40" s="2">
        <f>+Inputs!S131/Inputs!S3+Inputs!S139/Inputs!S3</f>
        <v>1220.9863810732891</v>
      </c>
      <c r="S40" s="2">
        <f>+Inputs!T131/Inputs!T3+Inputs!T139/Inputs!T3</f>
        <v>1245.4061086947547</v>
      </c>
      <c r="T40" s="2">
        <f>+Inputs!U131/Inputs!U3+Inputs!U139/Inputs!U3</f>
        <v>1270.3142308686499</v>
      </c>
      <c r="U40" s="2">
        <f>+Inputs!V131/Inputs!V3+Inputs!V139/Inputs!V3</f>
        <v>1183.0491663133253</v>
      </c>
      <c r="V40" s="2">
        <f>+Inputs!W131/Inputs!W3+Inputs!W139/Inputs!W3</f>
        <v>1206.7101496395917</v>
      </c>
      <c r="W40" s="2">
        <f>+Inputs!X131/Inputs!X3+Inputs!X139/Inputs!X3</f>
        <v>1230.8443526323836</v>
      </c>
      <c r="X40" s="2">
        <f>+Inputs!Y131/Inputs!Y3+Inputs!Y139/Inputs!Y3</f>
        <v>1255.4612396850312</v>
      </c>
      <c r="Y40" s="2">
        <f>+Inputs!Z131/Inputs!Z3+Inputs!Z139/Inputs!Z3</f>
        <v>1280.5704644787318</v>
      </c>
      <c r="Z40" s="2">
        <f>+Inputs!AA131/Inputs!AA3+Inputs!AA139/Inputs!AA3</f>
        <v>1306.1818737683063</v>
      </c>
      <c r="AA40" s="2">
        <f>+Inputs!AB131/Inputs!AB3+Inputs!AB139/Inputs!AB3</f>
        <v>1332.3055112436725</v>
      </c>
      <c r="AB40" s="2">
        <f>+Inputs!AC131/Inputs!AC3+Inputs!AC139/Inputs!AC3</f>
        <v>1358.9516214685459</v>
      </c>
      <c r="AC40" s="2">
        <f>+Inputs!AD131/Inputs!AD3+Inputs!AD139/Inputs!AD3</f>
        <v>1386.1306538979168</v>
      </c>
      <c r="AD40" s="2">
        <f>+Inputs!AE131/Inputs!AE3+Inputs!AE139/Inputs!AE3</f>
        <v>1413.8532669758752</v>
      </c>
      <c r="AE40" s="2">
        <f>+Inputs!AF131/Inputs!AF3+Inputs!AF139/Inputs!AF3</f>
        <v>1442.1303323153927</v>
      </c>
      <c r="AF40" s="2">
        <f>+Inputs!AG131/Inputs!AG3+Inputs!AG139/Inputs!AG3</f>
        <v>1470.9729389617005</v>
      </c>
      <c r="AG40" s="2">
        <f>+Inputs!AH131/Inputs!AH3+Inputs!AH139/Inputs!AH3</f>
        <v>0</v>
      </c>
      <c r="AH40" s="2">
        <f>+Inputs!AI131/Inputs!AI3+Inputs!AI139/Inputs!AI3</f>
        <v>0</v>
      </c>
      <c r="AI40" s="2">
        <f>+Inputs!AJ131/Inputs!AJ3+Inputs!AJ139/Inputs!AJ3</f>
        <v>0</v>
      </c>
      <c r="AJ40" s="2">
        <f>+Inputs!AK131/Inputs!AK3+Inputs!AK139/Inputs!AK3</f>
        <v>0</v>
      </c>
      <c r="AK40" s="2">
        <f>+Inputs!AL131/Inputs!AL3+Inputs!AL139/Inputs!AL3</f>
        <v>0</v>
      </c>
      <c r="AL40" s="2">
        <f>+Inputs!AM131/Inputs!AM3+Inputs!AM139/Inputs!AM3</f>
        <v>0</v>
      </c>
      <c r="AM40" s="2">
        <f>+Inputs!AN131/Inputs!AN3+Inputs!AN139/Inputs!AN3</f>
        <v>0</v>
      </c>
      <c r="AN40" s="2">
        <f>+Inputs!AO131/Inputs!AO3+Inputs!AO139/Inputs!AO3</f>
        <v>0</v>
      </c>
      <c r="AO40" s="2">
        <f>+Inputs!AP131/Inputs!AP3+Inputs!AP139/Inputs!AP3</f>
        <v>0</v>
      </c>
      <c r="AP40" s="2">
        <f>+Inputs!AQ131/Inputs!AQ3+Inputs!AQ139/Inputs!AQ3</f>
        <v>0</v>
      </c>
      <c r="AQ40" s="2">
        <f>+Inputs!AR131/Inputs!AR3+Inputs!AR139/Inputs!AR3</f>
        <v>0</v>
      </c>
    </row>
    <row r="41" spans="3:43" s="2" customFormat="1" x14ac:dyDescent="0.35">
      <c r="C41" s="2" t="s">
        <v>103</v>
      </c>
      <c r="D41" s="147">
        <f>+Inputs!E113/Inputs!E3</f>
        <v>0</v>
      </c>
      <c r="E41" s="147">
        <f>+Inputs!F113/Inputs!F3</f>
        <v>0</v>
      </c>
      <c r="F41" s="2">
        <f>+Inputs!G113/Inputs!G3</f>
        <v>954.21052631578948</v>
      </c>
      <c r="G41" s="2">
        <f>+Inputs!H113/Inputs!H3</f>
        <v>938.22749999999996</v>
      </c>
      <c r="H41" s="2">
        <f>+Inputs!I113/Inputs!I3</f>
        <v>961.68318749999992</v>
      </c>
      <c r="I41" s="2">
        <f>+Inputs!J113/Inputs!J3</f>
        <v>983.32105921874984</v>
      </c>
      <c r="J41" s="2">
        <f>+Inputs!K113/Inputs!K3</f>
        <v>1002.9874804031249</v>
      </c>
      <c r="K41" s="2">
        <f>+Inputs!L113/Inputs!L3</f>
        <v>1023.0472300111874</v>
      </c>
      <c r="L41" s="2">
        <f>+Inputs!M113/Inputs!M3</f>
        <v>1043.5081746114111</v>
      </c>
      <c r="M41" s="2">
        <f>+Inputs!N113/Inputs!N3</f>
        <v>1064.3783381036392</v>
      </c>
      <c r="N41" s="2">
        <f>+Inputs!O113/Inputs!O3</f>
        <v>1085.665904865712</v>
      </c>
      <c r="O41" s="2">
        <f>+Inputs!P113/Inputs!P3</f>
        <v>1107.3792229630262</v>
      </c>
      <c r="P41" s="2">
        <f>+Inputs!Q113/Inputs!Q3</f>
        <v>0</v>
      </c>
      <c r="Q41" s="2">
        <f>+Inputs!R113/Inputs!R3</f>
        <v>0</v>
      </c>
      <c r="R41" s="2">
        <f>+Inputs!S113/Inputs!S3</f>
        <v>0</v>
      </c>
      <c r="S41" s="2">
        <f>+Inputs!T113/Inputs!T3</f>
        <v>0</v>
      </c>
      <c r="T41" s="2">
        <f>+Inputs!U113/Inputs!U3</f>
        <v>0</v>
      </c>
      <c r="U41" s="2">
        <f>+Inputs!V113/Inputs!V3</f>
        <v>0</v>
      </c>
      <c r="V41" s="2">
        <f>+Inputs!W113/Inputs!W3</f>
        <v>0</v>
      </c>
      <c r="W41" s="2">
        <f>+Inputs!X113/Inputs!X3</f>
        <v>0</v>
      </c>
      <c r="X41" s="2">
        <f>+Inputs!Y113/Inputs!Y3</f>
        <v>0</v>
      </c>
      <c r="Y41" s="2">
        <f>+Inputs!Z113/Inputs!Z3</f>
        <v>0</v>
      </c>
      <c r="Z41" s="2">
        <f>+Inputs!AA113/Inputs!AA3</f>
        <v>0</v>
      </c>
      <c r="AA41" s="2">
        <f>+Inputs!AB113/Inputs!AB3</f>
        <v>0</v>
      </c>
      <c r="AB41" s="2">
        <f>+Inputs!AC113/Inputs!AC3</f>
        <v>0</v>
      </c>
      <c r="AC41" s="2">
        <f>+Inputs!AD113/Inputs!AD3</f>
        <v>0</v>
      </c>
      <c r="AD41" s="2">
        <f>+Inputs!AE113/Inputs!AE3</f>
        <v>0</v>
      </c>
      <c r="AE41" s="2">
        <f>+Inputs!AF113/Inputs!AF3</f>
        <v>0</v>
      </c>
      <c r="AF41" s="2">
        <f>+Inputs!AG113/Inputs!AG3</f>
        <v>0</v>
      </c>
      <c r="AG41" s="2">
        <f>+Inputs!AH113/Inputs!AH3</f>
        <v>0</v>
      </c>
      <c r="AH41" s="2">
        <f>+Inputs!AI113/Inputs!AI3</f>
        <v>0</v>
      </c>
      <c r="AI41" s="2">
        <f>+Inputs!AJ113/Inputs!AJ3</f>
        <v>0</v>
      </c>
      <c r="AJ41" s="2">
        <f>+Inputs!AK113/Inputs!AK3</f>
        <v>0</v>
      </c>
      <c r="AK41" s="2">
        <f>+Inputs!AL113/Inputs!AL3</f>
        <v>0</v>
      </c>
      <c r="AL41" s="2">
        <f>+Inputs!AM113/Inputs!AM3</f>
        <v>0</v>
      </c>
      <c r="AM41" s="2">
        <f>+Inputs!AN113/Inputs!AN3</f>
        <v>0</v>
      </c>
      <c r="AN41" s="2">
        <f>+Inputs!AO113/Inputs!AO3</f>
        <v>0</v>
      </c>
      <c r="AO41" s="2">
        <f>+Inputs!AP113/Inputs!AP3</f>
        <v>0</v>
      </c>
      <c r="AP41" s="2">
        <f>+Inputs!AQ113/Inputs!AQ3</f>
        <v>0</v>
      </c>
      <c r="AQ41" s="2">
        <f>+Inputs!AR113/Inputs!AR3</f>
        <v>0</v>
      </c>
    </row>
    <row r="42" spans="3:43" s="2" customFormat="1" x14ac:dyDescent="0.35">
      <c r="C42" s="2" t="s">
        <v>77</v>
      </c>
      <c r="D42" s="147">
        <f>-Inputs!E148-Inputs!E149</f>
        <v>-81</v>
      </c>
      <c r="E42" s="147">
        <f>-Inputs!F148-Inputs!F149</f>
        <v>-45</v>
      </c>
      <c r="F42" s="2">
        <f>-Inputs!G148-Inputs!G149</f>
        <v>0</v>
      </c>
      <c r="G42" s="2">
        <f>-Inputs!H148-Inputs!H149</f>
        <v>0</v>
      </c>
      <c r="H42" s="2">
        <f>-Inputs!I148-Inputs!I149</f>
        <v>0</v>
      </c>
      <c r="I42" s="2">
        <f>-Inputs!J148-Inputs!J149</f>
        <v>0</v>
      </c>
      <c r="J42" s="2">
        <f>-Inputs!K148-Inputs!K149</f>
        <v>0</v>
      </c>
      <c r="K42" s="2">
        <f>-Inputs!L148-Inputs!L149</f>
        <v>0</v>
      </c>
      <c r="L42" s="2">
        <f>-Inputs!M148-Inputs!M149</f>
        <v>0</v>
      </c>
      <c r="M42" s="2">
        <f>-Inputs!N148-Inputs!N149</f>
        <v>0</v>
      </c>
      <c r="N42" s="2">
        <f>-Inputs!O148-Inputs!O149</f>
        <v>0</v>
      </c>
      <c r="O42" s="2">
        <f>-Inputs!P148-Inputs!P149</f>
        <v>0</v>
      </c>
      <c r="P42" s="2">
        <f>-Inputs!Q148-Inputs!Q149</f>
        <v>0</v>
      </c>
      <c r="Q42" s="2">
        <f>-Inputs!R148-Inputs!R149</f>
        <v>0</v>
      </c>
      <c r="R42" s="2">
        <f>-Inputs!S148-Inputs!S149</f>
        <v>0</v>
      </c>
      <c r="S42" s="2">
        <f>-Inputs!T148-Inputs!T149</f>
        <v>0</v>
      </c>
      <c r="T42" s="2">
        <f>-Inputs!U148-Inputs!U149</f>
        <v>0</v>
      </c>
      <c r="U42" s="2">
        <f>-Inputs!V148-Inputs!V149</f>
        <v>0</v>
      </c>
      <c r="V42" s="2">
        <f>-Inputs!W148-Inputs!W149</f>
        <v>0</v>
      </c>
      <c r="W42" s="2">
        <f>-Inputs!X148-Inputs!X149</f>
        <v>0</v>
      </c>
      <c r="X42" s="2">
        <f>-Inputs!Y148-Inputs!Y149</f>
        <v>0</v>
      </c>
      <c r="Y42" s="2">
        <f>-Inputs!Z148-Inputs!Z149</f>
        <v>0</v>
      </c>
      <c r="Z42" s="2">
        <f>-Inputs!AA148-Inputs!AA149</f>
        <v>0</v>
      </c>
      <c r="AA42" s="2">
        <f>-Inputs!AB148-Inputs!AB149</f>
        <v>0</v>
      </c>
      <c r="AB42" s="2">
        <f>-Inputs!AC148-Inputs!AC149</f>
        <v>0</v>
      </c>
      <c r="AC42" s="2">
        <f>-Inputs!AD148-Inputs!AD149</f>
        <v>0</v>
      </c>
      <c r="AD42" s="2">
        <f>-Inputs!AE148-Inputs!AE149</f>
        <v>0</v>
      </c>
      <c r="AE42" s="2">
        <f>-Inputs!AF148-Inputs!AF149</f>
        <v>0</v>
      </c>
      <c r="AF42" s="2">
        <f>-Inputs!AG148-Inputs!AG149</f>
        <v>0</v>
      </c>
      <c r="AG42" s="2">
        <f>-Inputs!AH148-Inputs!AH149</f>
        <v>0</v>
      </c>
      <c r="AH42" s="2">
        <f>-Inputs!AI148-Inputs!AI149</f>
        <v>0</v>
      </c>
      <c r="AI42" s="2">
        <f>-Inputs!AJ148-Inputs!AJ149</f>
        <v>0</v>
      </c>
      <c r="AJ42" s="2">
        <f>-Inputs!AK148-Inputs!AK149</f>
        <v>0</v>
      </c>
      <c r="AK42" s="2">
        <f>-Inputs!AL148-Inputs!AL149</f>
        <v>0</v>
      </c>
      <c r="AL42" s="2">
        <f>-Inputs!AM148-Inputs!AM149</f>
        <v>0</v>
      </c>
      <c r="AM42" s="2">
        <f>-Inputs!AN148-Inputs!AN149</f>
        <v>0</v>
      </c>
      <c r="AN42" s="2">
        <f>-Inputs!AO148-Inputs!AO149</f>
        <v>0</v>
      </c>
      <c r="AO42" s="2">
        <f>-Inputs!AP148-Inputs!AP149</f>
        <v>0</v>
      </c>
      <c r="AP42" s="2">
        <f>-Inputs!AQ148-Inputs!AQ149</f>
        <v>0</v>
      </c>
      <c r="AQ42" s="2">
        <f>-Inputs!AR148-Inputs!AR149</f>
        <v>0</v>
      </c>
    </row>
    <row r="43" spans="3:43" s="2" customFormat="1" x14ac:dyDescent="0.35">
      <c r="D43" s="147"/>
      <c r="E43" s="147"/>
    </row>
    <row r="44" spans="3:43" s="2" customFormat="1" x14ac:dyDescent="0.35">
      <c r="D44" s="147"/>
      <c r="E44" s="147"/>
    </row>
    <row r="45" spans="3:43" s="2" customFormat="1" ht="15" thickBot="1" x14ac:dyDescent="0.4">
      <c r="C45" s="2" t="s">
        <v>52</v>
      </c>
      <c r="D45" s="152">
        <f t="shared" ref="D45:AJ45" si="20">+SUM(D29:D44)</f>
        <v>13477.1</v>
      </c>
      <c r="E45" s="152">
        <f t="shared" si="20"/>
        <v>14287.931294117649</v>
      </c>
      <c r="F45" s="72">
        <f t="shared" si="20"/>
        <v>14930.492770774152</v>
      </c>
      <c r="G45" s="72">
        <f t="shared" si="20"/>
        <v>15351.654209737182</v>
      </c>
      <c r="H45" s="72">
        <f t="shared" si="20"/>
        <v>15298.133656874332</v>
      </c>
      <c r="I45" s="72">
        <f t="shared" si="20"/>
        <v>15314.274342651213</v>
      </c>
      <c r="J45" s="72">
        <f t="shared" si="20"/>
        <v>15279.113423693938</v>
      </c>
      <c r="K45" s="72">
        <f t="shared" si="20"/>
        <v>15264.993315156118</v>
      </c>
      <c r="L45" s="72">
        <f t="shared" si="20"/>
        <v>15186.282463889154</v>
      </c>
      <c r="M45" s="72">
        <f t="shared" si="20"/>
        <v>15065.317430468947</v>
      </c>
      <c r="N45" s="72">
        <f t="shared" si="20"/>
        <v>15013.775073371206</v>
      </c>
      <c r="O45" s="72">
        <f t="shared" si="20"/>
        <v>14910.488668331665</v>
      </c>
      <c r="P45" s="72">
        <f t="shared" si="20"/>
        <v>14815.927767263185</v>
      </c>
      <c r="Q45" s="72">
        <f t="shared" si="20"/>
        <v>14473.04007459149</v>
      </c>
      <c r="R45" s="72">
        <f t="shared" si="20"/>
        <v>12335.358360450384</v>
      </c>
      <c r="S45" s="72">
        <f t="shared" si="20"/>
        <v>12015.325388225163</v>
      </c>
      <c r="T45" s="72">
        <f t="shared" si="20"/>
        <v>11631.923068749469</v>
      </c>
      <c r="U45" s="72">
        <f t="shared" si="20"/>
        <v>11271.89187820732</v>
      </c>
      <c r="V45" s="72">
        <f t="shared" si="20"/>
        <v>10859.266837888292</v>
      </c>
      <c r="W45" s="72">
        <f t="shared" si="20"/>
        <v>10490.176479976555</v>
      </c>
      <c r="X45" s="72">
        <f t="shared" si="20"/>
        <v>10127.518454112082</v>
      </c>
      <c r="Y45" s="72">
        <f t="shared" si="20"/>
        <v>9679.0774916241335</v>
      </c>
      <c r="Z45" s="72">
        <f t="shared" si="20"/>
        <v>9291.3830264546123</v>
      </c>
      <c r="AA45" s="72">
        <f t="shared" si="20"/>
        <v>8649.4415683995176</v>
      </c>
      <c r="AB45" s="72">
        <f t="shared" si="20"/>
        <v>8277.9966517093708</v>
      </c>
      <c r="AC45" s="72">
        <f t="shared" si="20"/>
        <v>7893.8733431534183</v>
      </c>
      <c r="AD45" s="72">
        <f t="shared" si="20"/>
        <v>7444.5209681281867</v>
      </c>
      <c r="AE45" s="72">
        <f t="shared" si="20"/>
        <v>7019.7521871832005</v>
      </c>
      <c r="AF45" s="72">
        <f t="shared" si="20"/>
        <v>6527.2979465086355</v>
      </c>
      <c r="AG45" s="72">
        <f t="shared" si="20"/>
        <v>6115.5699304314849</v>
      </c>
      <c r="AH45" s="72">
        <f t="shared" si="20"/>
        <v>5777.917265196058</v>
      </c>
      <c r="AI45" s="72">
        <f t="shared" si="20"/>
        <v>5199.5992204447948</v>
      </c>
      <c r="AJ45" s="72">
        <f t="shared" si="20"/>
        <v>4805.8200369965361</v>
      </c>
      <c r="AK45" s="72">
        <f t="shared" ref="AK45:AL45" si="21">+SUM(AK29:AK44)</f>
        <v>4413.5208864561473</v>
      </c>
      <c r="AL45" s="72">
        <f t="shared" si="21"/>
        <v>3939.6763818328391</v>
      </c>
      <c r="AM45" s="72">
        <f t="shared" ref="AM45:AQ45" si="22">+SUM(AM29:AM44)</f>
        <v>3425.2220960234945</v>
      </c>
      <c r="AN45" s="72">
        <f t="shared" si="22"/>
        <v>2912.447894831078</v>
      </c>
      <c r="AO45" s="72">
        <f t="shared" si="22"/>
        <v>1858.1070380258052</v>
      </c>
      <c r="AP45" s="72">
        <f t="shared" si="22"/>
        <v>1251.52620290088</v>
      </c>
      <c r="AQ45" s="72">
        <f t="shared" si="22"/>
        <v>624.23842672528826</v>
      </c>
    </row>
    <row r="46" spans="3:43" s="26" customFormat="1" ht="11" thickTop="1" x14ac:dyDescent="0.25">
      <c r="C46" s="26" t="s">
        <v>76</v>
      </c>
      <c r="D46" s="27"/>
      <c r="E46" s="28">
        <f t="shared" ref="E46:AQ46" si="23">+SUM(E29:E30)-SUM(D29:D30)-E25</f>
        <v>-66.783210980392141</v>
      </c>
      <c r="F46" s="28">
        <f t="shared" si="23"/>
        <v>0</v>
      </c>
      <c r="G46" s="28">
        <f t="shared" si="23"/>
        <v>0</v>
      </c>
      <c r="H46" s="28">
        <f t="shared" si="23"/>
        <v>0</v>
      </c>
      <c r="I46" s="28">
        <f t="shared" si="23"/>
        <v>0</v>
      </c>
      <c r="J46" s="28">
        <f t="shared" si="23"/>
        <v>-1.1368683772161603E-13</v>
      </c>
      <c r="K46" s="28">
        <f t="shared" si="23"/>
        <v>0</v>
      </c>
      <c r="L46" s="28">
        <f t="shared" si="23"/>
        <v>0</v>
      </c>
      <c r="M46" s="28">
        <f t="shared" si="23"/>
        <v>0</v>
      </c>
      <c r="N46" s="28">
        <f t="shared" si="23"/>
        <v>0</v>
      </c>
      <c r="O46" s="28">
        <f t="shared" si="23"/>
        <v>0</v>
      </c>
      <c r="P46" s="28">
        <f t="shared" si="23"/>
        <v>0</v>
      </c>
      <c r="Q46" s="28">
        <f t="shared" si="23"/>
        <v>0</v>
      </c>
      <c r="R46" s="28">
        <f t="shared" si="23"/>
        <v>0</v>
      </c>
      <c r="S46" s="28">
        <f t="shared" si="23"/>
        <v>0</v>
      </c>
      <c r="T46" s="28">
        <f t="shared" si="23"/>
        <v>0</v>
      </c>
      <c r="U46" s="28">
        <f t="shared" si="23"/>
        <v>0</v>
      </c>
      <c r="V46" s="28">
        <f t="shared" si="23"/>
        <v>0</v>
      </c>
      <c r="W46" s="28">
        <f t="shared" si="23"/>
        <v>0</v>
      </c>
      <c r="X46" s="28">
        <f t="shared" si="23"/>
        <v>6.2527760746888816E-13</v>
      </c>
      <c r="Y46" s="28">
        <f t="shared" si="23"/>
        <v>0</v>
      </c>
      <c r="Z46" s="28">
        <f t="shared" si="23"/>
        <v>-6.2527760746888816E-13</v>
      </c>
      <c r="AA46" s="28">
        <f t="shared" si="23"/>
        <v>0</v>
      </c>
      <c r="AB46" s="28">
        <f t="shared" si="23"/>
        <v>0</v>
      </c>
      <c r="AC46" s="28">
        <f t="shared" si="23"/>
        <v>0</v>
      </c>
      <c r="AD46" s="28">
        <f t="shared" si="23"/>
        <v>0</v>
      </c>
      <c r="AE46" s="28">
        <f t="shared" si="23"/>
        <v>0</v>
      </c>
      <c r="AF46" s="28">
        <f t="shared" si="23"/>
        <v>0</v>
      </c>
      <c r="AG46" s="28">
        <f t="shared" si="23"/>
        <v>0</v>
      </c>
      <c r="AH46" s="28">
        <f t="shared" si="23"/>
        <v>0</v>
      </c>
      <c r="AI46" s="28">
        <f t="shared" si="23"/>
        <v>0</v>
      </c>
      <c r="AJ46" s="28">
        <f t="shared" si="23"/>
        <v>0</v>
      </c>
      <c r="AK46" s="28">
        <f t="shared" si="23"/>
        <v>0</v>
      </c>
      <c r="AL46" s="28">
        <f t="shared" si="23"/>
        <v>0</v>
      </c>
      <c r="AM46" s="28">
        <f t="shared" si="23"/>
        <v>0</v>
      </c>
      <c r="AN46" s="28">
        <f t="shared" si="23"/>
        <v>0</v>
      </c>
      <c r="AO46" s="28">
        <f t="shared" si="23"/>
        <v>0</v>
      </c>
      <c r="AP46" s="28">
        <f t="shared" si="23"/>
        <v>0</v>
      </c>
      <c r="AQ46" s="28">
        <f t="shared" si="23"/>
        <v>0</v>
      </c>
    </row>
    <row r="49" spans="3:43" x14ac:dyDescent="0.35">
      <c r="C49" t="s">
        <v>112</v>
      </c>
      <c r="E49" s="147">
        <f t="shared" ref="E49:AQ49" si="24">+E29+E30-D29-D30</f>
        <v>-299</v>
      </c>
      <c r="F49" s="2">
        <f t="shared" si="24"/>
        <v>-1494.8057292258482</v>
      </c>
      <c r="G49" s="2">
        <f t="shared" si="24"/>
        <v>336.36747615053082</v>
      </c>
      <c r="H49" s="2">
        <f t="shared" si="24"/>
        <v>-300.10351541949285</v>
      </c>
      <c r="I49" s="2">
        <f t="shared" si="24"/>
        <v>48.197233130690392</v>
      </c>
      <c r="J49" s="2">
        <f t="shared" si="24"/>
        <v>-125.92421696292695</v>
      </c>
      <c r="K49" s="2">
        <f t="shared" si="24"/>
        <v>557.52089562743663</v>
      </c>
      <c r="L49" s="2">
        <f t="shared" si="24"/>
        <v>-138.68195506441816</v>
      </c>
      <c r="M49" s="2">
        <f t="shared" si="24"/>
        <v>-192.58140557240245</v>
      </c>
      <c r="N49" s="2">
        <f t="shared" si="24"/>
        <v>25.327019877853218</v>
      </c>
      <c r="O49" s="2">
        <f t="shared" si="24"/>
        <v>-220.18164978433174</v>
      </c>
      <c r="P49" s="2">
        <f t="shared" si="24"/>
        <v>1275.6620384693383</v>
      </c>
      <c r="Q49" s="2">
        <f t="shared" si="24"/>
        <v>6172.3744464021765</v>
      </c>
      <c r="R49" s="2">
        <f t="shared" si="24"/>
        <v>-2156.5898014638688</v>
      </c>
      <c r="S49" s="2">
        <f t="shared" si="24"/>
        <v>-336.84629081983439</v>
      </c>
      <c r="T49" s="2">
        <f t="shared" si="24"/>
        <v>-332.68072031141128</v>
      </c>
      <c r="U49" s="2">
        <f t="shared" si="24"/>
        <v>-371.6871957076637</v>
      </c>
      <c r="V49" s="2">
        <f t="shared" si="24"/>
        <v>-537.66161384446514</v>
      </c>
      <c r="W49" s="2">
        <f t="shared" si="24"/>
        <v>-497.11804496411787</v>
      </c>
      <c r="X49" s="2">
        <f t="shared" si="24"/>
        <v>-493.75136017602836</v>
      </c>
      <c r="Y49" s="2">
        <f t="shared" si="24"/>
        <v>811.14178282050807</v>
      </c>
      <c r="Z49" s="2">
        <f t="shared" si="24"/>
        <v>-497.27411129819211</v>
      </c>
      <c r="AA49" s="2">
        <f t="shared" si="24"/>
        <v>-754.26462643112109</v>
      </c>
      <c r="AB49" s="2">
        <f t="shared" si="24"/>
        <v>-486.58303563821846</v>
      </c>
      <c r="AC49" s="2">
        <f t="shared" si="24"/>
        <v>-502.14973170364874</v>
      </c>
      <c r="AD49" s="2">
        <f t="shared" si="24"/>
        <v>-570.34243471116224</v>
      </c>
      <c r="AE49" s="2">
        <f t="shared" si="24"/>
        <v>-548.79984314217654</v>
      </c>
      <c r="AF49" s="2">
        <f t="shared" si="24"/>
        <v>-619.60576147276674</v>
      </c>
      <c r="AG49" s="2">
        <f t="shared" si="24"/>
        <v>958.31079797184168</v>
      </c>
      <c r="AH49" s="2">
        <f t="shared" si="24"/>
        <v>-441.28427609850246</v>
      </c>
      <c r="AI49" s="2">
        <f t="shared" si="24"/>
        <v>-684.72145538727489</v>
      </c>
      <c r="AJ49" s="2">
        <f t="shared" si="24"/>
        <v>11.969195120664835</v>
      </c>
      <c r="AK49" s="2">
        <f t="shared" si="24"/>
        <v>-489.02755125990393</v>
      </c>
      <c r="AL49" s="2">
        <f t="shared" si="24"/>
        <v>-573.11697262282303</v>
      </c>
      <c r="AM49" s="2">
        <f t="shared" si="24"/>
        <v>1694.080162826893</v>
      </c>
      <c r="AN49" s="2">
        <f t="shared" si="24"/>
        <v>-567.01583159366101</v>
      </c>
      <c r="AO49" s="2">
        <f t="shared" si="24"/>
        <v>807.95512030413397</v>
      </c>
      <c r="AP49" s="2">
        <f t="shared" si="24"/>
        <v>-606.58083512492522</v>
      </c>
      <c r="AQ49" s="2">
        <f t="shared" si="24"/>
        <v>-627.28777617559172</v>
      </c>
    </row>
    <row r="50" spans="3:43" x14ac:dyDescent="0.35">
      <c r="E50" s="147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3:43" x14ac:dyDescent="0.35">
      <c r="C51" t="s">
        <v>63</v>
      </c>
      <c r="E51" s="147">
        <f>+E49-SUM(E52:E55)</f>
        <v>531.27671568627443</v>
      </c>
      <c r="F51" s="2">
        <f t="shared" ref="F51:AJ51" si="25">+F6+F7+F8+F9+F12-F18+F11-F19-F22-F52</f>
        <v>-246.2325384363744</v>
      </c>
      <c r="G51" s="2">
        <f t="shared" si="25"/>
        <v>-281.61190724821734</v>
      </c>
      <c r="H51" s="2">
        <f t="shared" si="25"/>
        <v>-270.22935786418503</v>
      </c>
      <c r="I51" s="2">
        <f t="shared" si="25"/>
        <v>-179.46608252725832</v>
      </c>
      <c r="J51" s="2">
        <f t="shared" si="25"/>
        <v>-228.61455509717001</v>
      </c>
      <c r="K51" s="2">
        <f t="shared" si="25"/>
        <v>-191.09739617904347</v>
      </c>
      <c r="L51" s="2">
        <f t="shared" si="25"/>
        <v>-238.60679458745727</v>
      </c>
      <c r="M51" s="2">
        <f t="shared" si="25"/>
        <v>-187.88422925248341</v>
      </c>
      <c r="N51" s="2">
        <f t="shared" si="25"/>
        <v>-194.17673104266913</v>
      </c>
      <c r="O51" s="2">
        <f t="shared" si="25"/>
        <v>-244.04783925874688</v>
      </c>
      <c r="P51" s="2">
        <f t="shared" si="25"/>
        <v>-214.87932873356499</v>
      </c>
      <c r="Q51" s="2">
        <f t="shared" si="25"/>
        <v>-448.36070445659141</v>
      </c>
      <c r="R51" s="2">
        <f t="shared" si="25"/>
        <v>-347.52214103344477</v>
      </c>
      <c r="S51" s="2">
        <f t="shared" si="25"/>
        <v>-384.98751494235205</v>
      </c>
      <c r="T51" s="2">
        <f t="shared" si="25"/>
        <v>-449.46534203107569</v>
      </c>
      <c r="U51" s="2">
        <f t="shared" si="25"/>
        <v>-427.82411205534657</v>
      </c>
      <c r="V51" s="2">
        <f t="shared" si="25"/>
        <v>-496.98184535419347</v>
      </c>
      <c r="W51" s="2">
        <f t="shared" si="25"/>
        <v>-438.86958093067324</v>
      </c>
      <c r="X51" s="2">
        <f t="shared" si="25"/>
        <v>-458.53611020679358</v>
      </c>
      <c r="Y51" s="2">
        <f t="shared" si="25"/>
        <v>-522.91174835231334</v>
      </c>
      <c r="Z51" s="2">
        <f t="shared" si="25"/>
        <v>-463.68902829915862</v>
      </c>
      <c r="AA51" s="2">
        <f t="shared" si="25"/>
        <v>-537.91187506112215</v>
      </c>
      <c r="AB51" s="2">
        <f t="shared" si="25"/>
        <v>-455.39692841890559</v>
      </c>
      <c r="AC51" s="2">
        <f t="shared" si="25"/>
        <v>-474.46978702832092</v>
      </c>
      <c r="AD51" s="2">
        <f t="shared" si="25"/>
        <v>-545.40581648237071</v>
      </c>
      <c r="AE51" s="2">
        <f t="shared" si="25"/>
        <v>-526.85114340147516</v>
      </c>
      <c r="AF51" s="2">
        <f t="shared" si="25"/>
        <v>-600.77804381413659</v>
      </c>
      <c r="AG51" s="2">
        <f t="shared" si="25"/>
        <v>-497.09610205103996</v>
      </c>
      <c r="AH51" s="2">
        <f t="shared" si="25"/>
        <v>-424.45127781333224</v>
      </c>
      <c r="AI51" s="2">
        <f t="shared" si="25"/>
        <v>-495.21077323209943</v>
      </c>
      <c r="AJ51" s="2">
        <f t="shared" si="25"/>
        <v>-472.50025400816338</v>
      </c>
      <c r="AK51" s="2">
        <f t="shared" ref="AK51:AL51" si="26">+AK6+AK7+AK8+AK9+AK12-AK18+AK11-AK19-AK22-AK52</f>
        <v>-476.20677789912679</v>
      </c>
      <c r="AL51" s="2">
        <f t="shared" si="26"/>
        <v>-562.43964068194623</v>
      </c>
      <c r="AM51" s="2">
        <f t="shared" ref="AM51:AQ51" si="27">+AM6+AM7+AM8+AM9+AM12-AM18+AM11-AM19-AM22-AM52</f>
        <v>-559.39317387073083</v>
      </c>
      <c r="AN51" s="2">
        <f t="shared" si="27"/>
        <v>-556.46360261813516</v>
      </c>
      <c r="AO51" s="2">
        <f t="shared" si="27"/>
        <v>-575.65793451579771</v>
      </c>
      <c r="AP51" s="2">
        <f t="shared" si="27"/>
        <v>-595.86425330060263</v>
      </c>
      <c r="AQ51" s="2">
        <f t="shared" si="27"/>
        <v>-619.45887645281164</v>
      </c>
    </row>
    <row r="52" spans="3:43" x14ac:dyDescent="0.35">
      <c r="C52" t="s">
        <v>1</v>
      </c>
      <c r="E52" s="147">
        <f>-+E19</f>
        <v>-682.97671568627447</v>
      </c>
      <c r="F52" s="2">
        <f>-+F19</f>
        <v>-99.354769736842115</v>
      </c>
      <c r="G52" s="2">
        <f t="shared" ref="G52:AJ52" si="28">-+G19</f>
        <v>-81.884616601251793</v>
      </c>
      <c r="H52" s="2">
        <f t="shared" si="28"/>
        <v>-64.874157555307988</v>
      </c>
      <c r="I52" s="2">
        <f t="shared" si="28"/>
        <v>-67.006521342051272</v>
      </c>
      <c r="J52" s="2">
        <f t="shared" si="28"/>
        <v>-62.309661865756809</v>
      </c>
      <c r="K52" s="2">
        <f t="shared" si="28"/>
        <v>-64.224211807019742</v>
      </c>
      <c r="L52" s="2">
        <f t="shared" si="28"/>
        <v>-78.97781434571074</v>
      </c>
      <c r="M52" s="2">
        <f t="shared" si="28"/>
        <v>-169.69717631991898</v>
      </c>
      <c r="N52" s="2">
        <f t="shared" si="28"/>
        <v>-84.557249618292033</v>
      </c>
      <c r="O52" s="2">
        <f t="shared" si="28"/>
        <v>-86.133810525584906</v>
      </c>
      <c r="P52" s="2">
        <f t="shared" si="28"/>
        <v>-77.009123561944861</v>
      </c>
      <c r="Q52" s="2">
        <f t="shared" si="28"/>
        <v>-25.365421460780304</v>
      </c>
      <c r="R52" s="2">
        <f t="shared" si="28"/>
        <v>-1919.0676604304249</v>
      </c>
      <c r="S52" s="2">
        <f t="shared" si="28"/>
        <v>-61.858775877482209</v>
      </c>
      <c r="T52" s="2">
        <f t="shared" si="28"/>
        <v>-55.373371775893588</v>
      </c>
      <c r="U52" s="2">
        <f t="shared" si="28"/>
        <v>-54.325190684373588</v>
      </c>
      <c r="V52" s="2">
        <f t="shared" si="28"/>
        <v>-40.679768490271456</v>
      </c>
      <c r="W52" s="2">
        <f t="shared" si="28"/>
        <v>-58.248464033445003</v>
      </c>
      <c r="X52" s="2">
        <f t="shared" si="28"/>
        <v>-35.215249969235408</v>
      </c>
      <c r="Y52" s="2">
        <f t="shared" si="28"/>
        <v>-32.434892974152156</v>
      </c>
      <c r="Z52" s="2">
        <f t="shared" si="28"/>
        <v>-33.585082999032892</v>
      </c>
      <c r="AA52" s="2">
        <f t="shared" si="28"/>
        <v>-216.35275136999888</v>
      </c>
      <c r="AB52" s="2">
        <f t="shared" si="28"/>
        <v>-31.186107219313023</v>
      </c>
      <c r="AC52" s="2">
        <f t="shared" si="28"/>
        <v>-27.679944675327761</v>
      </c>
      <c r="AD52" s="2">
        <f t="shared" si="28"/>
        <v>-24.936618228791595</v>
      </c>
      <c r="AE52" s="2">
        <f t="shared" si="28"/>
        <v>-21.948699740701286</v>
      </c>
      <c r="AF52" s="2">
        <f t="shared" si="28"/>
        <v>-18.827717658630014</v>
      </c>
      <c r="AG52" s="2">
        <f t="shared" si="28"/>
        <v>-15.566038938818595</v>
      </c>
      <c r="AH52" s="2">
        <f t="shared" si="28"/>
        <v>-16.83299828517023</v>
      </c>
      <c r="AI52" s="2">
        <f t="shared" si="28"/>
        <v>-189.51068215517546</v>
      </c>
      <c r="AJ52" s="2">
        <f t="shared" si="28"/>
        <v>-15.530550871171805</v>
      </c>
      <c r="AK52" s="2">
        <f t="shared" ref="AK52:AL52" si="29">-+AK19</f>
        <v>-12.820773360777183</v>
      </c>
      <c r="AL52" s="2">
        <f t="shared" si="29"/>
        <v>-10.677331940876831</v>
      </c>
      <c r="AM52" s="2">
        <f t="shared" ref="AM52:AQ52" si="30">-+AM19</f>
        <v>-7.7228890272015374</v>
      </c>
      <c r="AN52" s="2">
        <f t="shared" si="30"/>
        <v>-10.55222897552582</v>
      </c>
      <c r="AO52" s="2">
        <f t="shared" si="30"/>
        <v>-478.6829222894753</v>
      </c>
      <c r="AP52" s="2">
        <f t="shared" si="30"/>
        <v>-10.716581824322567</v>
      </c>
      <c r="AQ52" s="2">
        <f t="shared" si="30"/>
        <v>-7.8288997227800561</v>
      </c>
    </row>
    <row r="53" spans="3:43" x14ac:dyDescent="0.35">
      <c r="C53" t="s">
        <v>60</v>
      </c>
      <c r="E53" s="147">
        <f t="shared" ref="E53" si="31">-E20</f>
        <v>-111.30000000000001</v>
      </c>
      <c r="F53" s="2">
        <f>-F20</f>
        <v>-1104.2184210526316</v>
      </c>
      <c r="G53" s="2">
        <f t="shared" ref="G53:AJ53" si="32">-G20</f>
        <v>-165</v>
      </c>
      <c r="H53" s="2">
        <f t="shared" si="32"/>
        <v>-165</v>
      </c>
      <c r="I53" s="2">
        <f t="shared" si="32"/>
        <v>-138.60000000000002</v>
      </c>
      <c r="J53" s="2">
        <f t="shared" si="32"/>
        <v>0</v>
      </c>
      <c r="K53" s="2">
        <f t="shared" si="32"/>
        <v>0</v>
      </c>
      <c r="L53" s="2">
        <f t="shared" si="32"/>
        <v>0</v>
      </c>
      <c r="M53" s="2">
        <f t="shared" si="32"/>
        <v>0</v>
      </c>
      <c r="N53" s="2">
        <f t="shared" si="32"/>
        <v>0</v>
      </c>
      <c r="O53" s="2">
        <f t="shared" si="32"/>
        <v>0</v>
      </c>
      <c r="P53" s="2">
        <f t="shared" si="32"/>
        <v>0</v>
      </c>
      <c r="Q53" s="2">
        <f t="shared" si="32"/>
        <v>0</v>
      </c>
      <c r="R53" s="2">
        <f t="shared" si="32"/>
        <v>0</v>
      </c>
      <c r="S53" s="2">
        <f t="shared" si="32"/>
        <v>0</v>
      </c>
      <c r="T53" s="2">
        <f t="shared" si="32"/>
        <v>0</v>
      </c>
      <c r="U53" s="2">
        <f t="shared" si="32"/>
        <v>0</v>
      </c>
      <c r="V53" s="2">
        <f t="shared" si="32"/>
        <v>0</v>
      </c>
      <c r="W53" s="2">
        <f t="shared" si="32"/>
        <v>0</v>
      </c>
      <c r="X53" s="2">
        <f t="shared" si="32"/>
        <v>0</v>
      </c>
      <c r="Y53" s="2">
        <f t="shared" si="32"/>
        <v>0</v>
      </c>
      <c r="Z53" s="2">
        <f t="shared" si="32"/>
        <v>0</v>
      </c>
      <c r="AA53" s="2">
        <f t="shared" si="32"/>
        <v>0</v>
      </c>
      <c r="AB53" s="2">
        <f t="shared" si="32"/>
        <v>0</v>
      </c>
      <c r="AC53" s="2">
        <f t="shared" si="32"/>
        <v>0</v>
      </c>
      <c r="AD53" s="2">
        <f t="shared" si="32"/>
        <v>0</v>
      </c>
      <c r="AE53" s="2">
        <f t="shared" si="32"/>
        <v>0</v>
      </c>
      <c r="AF53" s="2">
        <f t="shared" si="32"/>
        <v>0</v>
      </c>
      <c r="AG53" s="2">
        <f t="shared" si="32"/>
        <v>0</v>
      </c>
      <c r="AH53" s="2">
        <f t="shared" si="32"/>
        <v>0</v>
      </c>
      <c r="AI53" s="2">
        <f t="shared" si="32"/>
        <v>0</v>
      </c>
      <c r="AJ53" s="2">
        <f t="shared" si="32"/>
        <v>0</v>
      </c>
      <c r="AK53" s="2">
        <f t="shared" ref="AK53:AL53" si="33">-AK20</f>
        <v>0</v>
      </c>
      <c r="AL53" s="2">
        <f t="shared" si="33"/>
        <v>0</v>
      </c>
      <c r="AM53" s="2">
        <f t="shared" ref="AM53:AQ53" si="34">-AM20</f>
        <v>0</v>
      </c>
      <c r="AN53" s="2">
        <f t="shared" si="34"/>
        <v>0</v>
      </c>
      <c r="AO53" s="2">
        <f t="shared" si="34"/>
        <v>0</v>
      </c>
      <c r="AP53" s="2">
        <f t="shared" si="34"/>
        <v>0</v>
      </c>
      <c r="AQ53" s="2">
        <f t="shared" si="34"/>
        <v>0</v>
      </c>
    </row>
    <row r="54" spans="3:43" x14ac:dyDescent="0.35">
      <c r="C54" t="s">
        <v>86</v>
      </c>
      <c r="E54" s="147">
        <f t="shared" ref="E54" si="35">+E13</f>
        <v>0</v>
      </c>
      <c r="F54" s="2">
        <f>+F13</f>
        <v>0</v>
      </c>
      <c r="G54" s="2">
        <f t="shared" ref="G54:AJ54" si="36">+G13</f>
        <v>864.86400000000003</v>
      </c>
      <c r="H54" s="2">
        <f t="shared" si="36"/>
        <v>200</v>
      </c>
      <c r="I54" s="2">
        <f t="shared" si="36"/>
        <v>433.269837</v>
      </c>
      <c r="J54" s="2">
        <f t="shared" si="36"/>
        <v>165</v>
      </c>
      <c r="K54" s="2">
        <f t="shared" si="36"/>
        <v>812.84250361349984</v>
      </c>
      <c r="L54" s="2">
        <f t="shared" si="36"/>
        <v>178.90265386875001</v>
      </c>
      <c r="M54" s="2">
        <f t="shared" si="36"/>
        <v>165</v>
      </c>
      <c r="N54" s="2">
        <f t="shared" si="36"/>
        <v>304.06100053881448</v>
      </c>
      <c r="O54" s="2">
        <f t="shared" si="36"/>
        <v>110.00000000000001</v>
      </c>
      <c r="P54" s="2">
        <f t="shared" si="36"/>
        <v>1567.5504907648481</v>
      </c>
      <c r="Q54" s="2">
        <f t="shared" si="36"/>
        <v>6646.1005723195476</v>
      </c>
      <c r="R54" s="2">
        <f t="shared" si="36"/>
        <v>110.00000000000001</v>
      </c>
      <c r="S54" s="2">
        <f t="shared" si="36"/>
        <v>110.00000000000001</v>
      </c>
      <c r="T54" s="2">
        <f t="shared" si="36"/>
        <v>172.15799349555806</v>
      </c>
      <c r="U54" s="2">
        <f t="shared" si="36"/>
        <v>110.46210703205652</v>
      </c>
      <c r="V54" s="2">
        <f t="shared" si="36"/>
        <v>0</v>
      </c>
      <c r="W54" s="2">
        <f t="shared" si="36"/>
        <v>0</v>
      </c>
      <c r="X54" s="2">
        <f t="shared" si="36"/>
        <v>0</v>
      </c>
      <c r="Y54" s="2">
        <f t="shared" si="36"/>
        <v>1366.4884241469733</v>
      </c>
      <c r="Z54" s="2">
        <f t="shared" si="36"/>
        <v>0</v>
      </c>
      <c r="AA54" s="2">
        <f t="shared" si="36"/>
        <v>0</v>
      </c>
      <c r="AB54" s="2">
        <f t="shared" si="36"/>
        <v>0</v>
      </c>
      <c r="AC54" s="2">
        <f t="shared" si="36"/>
        <v>0</v>
      </c>
      <c r="AD54" s="2">
        <f t="shared" si="36"/>
        <v>0</v>
      </c>
      <c r="AE54" s="2">
        <f t="shared" si="36"/>
        <v>0</v>
      </c>
      <c r="AF54" s="2">
        <f t="shared" si="36"/>
        <v>0</v>
      </c>
      <c r="AG54" s="2">
        <f t="shared" si="36"/>
        <v>1470.9729389617005</v>
      </c>
      <c r="AH54" s="2">
        <f t="shared" si="36"/>
        <v>0</v>
      </c>
      <c r="AI54" s="2">
        <f t="shared" si="36"/>
        <v>0</v>
      </c>
      <c r="AJ54" s="2">
        <f t="shared" si="36"/>
        <v>500</v>
      </c>
      <c r="AK54" s="2">
        <f t="shared" ref="AK54:AL54" si="37">+AK13</f>
        <v>0</v>
      </c>
      <c r="AL54" s="2">
        <f t="shared" si="37"/>
        <v>0</v>
      </c>
      <c r="AM54" s="2">
        <f t="shared" ref="AM54:AQ54" si="38">+AM13</f>
        <v>2261.1962257248251</v>
      </c>
      <c r="AN54" s="2">
        <f t="shared" si="38"/>
        <v>0</v>
      </c>
      <c r="AO54" s="2">
        <f t="shared" si="38"/>
        <v>1862.295977109407</v>
      </c>
      <c r="AP54" s="2">
        <f t="shared" si="38"/>
        <v>0</v>
      </c>
      <c r="AQ54" s="2">
        <f t="shared" si="38"/>
        <v>0</v>
      </c>
    </row>
    <row r="55" spans="3:43" x14ac:dyDescent="0.35">
      <c r="C55" t="s">
        <v>113</v>
      </c>
      <c r="E55" s="147">
        <f t="shared" ref="E55" si="39">-E21</f>
        <v>-36</v>
      </c>
      <c r="F55" s="2">
        <f>-F21</f>
        <v>-45</v>
      </c>
      <c r="G55" s="2">
        <f t="shared" ref="G55:AJ55" si="40">-G21</f>
        <v>0</v>
      </c>
      <c r="H55" s="2">
        <f t="shared" si="40"/>
        <v>0</v>
      </c>
      <c r="I55" s="2">
        <f t="shared" si="40"/>
        <v>0</v>
      </c>
      <c r="J55" s="2">
        <f t="shared" si="40"/>
        <v>0</v>
      </c>
      <c r="K55" s="2">
        <f t="shared" si="40"/>
        <v>0</v>
      </c>
      <c r="L55" s="2">
        <f t="shared" si="40"/>
        <v>0</v>
      </c>
      <c r="M55" s="2">
        <f t="shared" si="40"/>
        <v>0</v>
      </c>
      <c r="N55" s="2">
        <f t="shared" si="40"/>
        <v>0</v>
      </c>
      <c r="O55" s="2">
        <f t="shared" si="40"/>
        <v>0</v>
      </c>
      <c r="P55" s="2">
        <f t="shared" si="40"/>
        <v>0</v>
      </c>
      <c r="Q55" s="2">
        <f t="shared" si="40"/>
        <v>0</v>
      </c>
      <c r="R55" s="2">
        <f t="shared" si="40"/>
        <v>0</v>
      </c>
      <c r="S55" s="2">
        <f t="shared" si="40"/>
        <v>0</v>
      </c>
      <c r="T55" s="2">
        <f t="shared" si="40"/>
        <v>0</v>
      </c>
      <c r="U55" s="2">
        <f t="shared" si="40"/>
        <v>0</v>
      </c>
      <c r="V55" s="2">
        <f t="shared" si="40"/>
        <v>0</v>
      </c>
      <c r="W55" s="2">
        <f t="shared" si="40"/>
        <v>0</v>
      </c>
      <c r="X55" s="2">
        <f t="shared" si="40"/>
        <v>0</v>
      </c>
      <c r="Y55" s="2">
        <f t="shared" si="40"/>
        <v>0</v>
      </c>
      <c r="Z55" s="2">
        <f t="shared" si="40"/>
        <v>0</v>
      </c>
      <c r="AA55" s="2">
        <f t="shared" si="40"/>
        <v>0</v>
      </c>
      <c r="AB55" s="2">
        <f t="shared" si="40"/>
        <v>0</v>
      </c>
      <c r="AC55" s="2">
        <f t="shared" si="40"/>
        <v>0</v>
      </c>
      <c r="AD55" s="2">
        <f t="shared" si="40"/>
        <v>0</v>
      </c>
      <c r="AE55" s="2">
        <f t="shared" si="40"/>
        <v>0</v>
      </c>
      <c r="AF55" s="2">
        <f t="shared" si="40"/>
        <v>0</v>
      </c>
      <c r="AG55" s="2">
        <f t="shared" si="40"/>
        <v>0</v>
      </c>
      <c r="AH55" s="2">
        <f t="shared" si="40"/>
        <v>0</v>
      </c>
      <c r="AI55" s="2">
        <f t="shared" si="40"/>
        <v>0</v>
      </c>
      <c r="AJ55" s="2">
        <f t="shared" si="40"/>
        <v>0</v>
      </c>
      <c r="AK55" s="2">
        <f t="shared" ref="AK55:AL55" si="41">-AK21</f>
        <v>0</v>
      </c>
      <c r="AL55" s="2">
        <f t="shared" si="41"/>
        <v>0</v>
      </c>
      <c r="AM55" s="2">
        <f t="shared" ref="AM55:AQ55" si="42">-AM21</f>
        <v>0</v>
      </c>
      <c r="AN55" s="2">
        <f t="shared" si="42"/>
        <v>0</v>
      </c>
      <c r="AO55" s="2">
        <f t="shared" si="42"/>
        <v>0</v>
      </c>
      <c r="AP55" s="2">
        <f t="shared" si="42"/>
        <v>0</v>
      </c>
      <c r="AQ55" s="2">
        <f t="shared" si="42"/>
        <v>0</v>
      </c>
    </row>
    <row r="56" spans="3:43" ht="15" thickBot="1" x14ac:dyDescent="0.4">
      <c r="E56" s="152">
        <f t="shared" ref="E56:F56" si="43">+SUM(E51:E55)</f>
        <v>-299.00000000000006</v>
      </c>
      <c r="F56" s="72">
        <f t="shared" si="43"/>
        <v>-1494.8057292258482</v>
      </c>
      <c r="G56" s="72">
        <f t="shared" ref="G56" si="44">+SUM(G51:G55)</f>
        <v>336.36747615053093</v>
      </c>
      <c r="H56" s="72">
        <f t="shared" ref="H56" si="45">+SUM(H51:H55)</f>
        <v>-300.10351541949302</v>
      </c>
      <c r="I56" s="72">
        <f t="shared" ref="I56" si="46">+SUM(I51:I55)</f>
        <v>48.197233130690392</v>
      </c>
      <c r="J56" s="72">
        <f t="shared" ref="J56" si="47">+SUM(J51:J55)</f>
        <v>-125.92421696292683</v>
      </c>
      <c r="K56" s="72">
        <f t="shared" ref="K56" si="48">+SUM(K51:K55)</f>
        <v>557.52089562743663</v>
      </c>
      <c r="L56" s="72">
        <f t="shared" ref="L56" si="49">+SUM(L51:L55)</f>
        <v>-138.68195506441799</v>
      </c>
      <c r="M56" s="72">
        <f t="shared" ref="M56" si="50">+SUM(M51:M55)</f>
        <v>-192.58140557240239</v>
      </c>
      <c r="N56" s="72">
        <f t="shared" ref="N56" si="51">+SUM(N51:N55)</f>
        <v>25.327019877853331</v>
      </c>
      <c r="O56" s="72">
        <f t="shared" ref="O56" si="52">+SUM(O51:O55)</f>
        <v>-220.1816497843318</v>
      </c>
      <c r="P56" s="72">
        <f t="shared" ref="P56" si="53">+SUM(P51:P55)</f>
        <v>1275.6620384693383</v>
      </c>
      <c r="Q56" s="72">
        <f t="shared" ref="Q56" si="54">+SUM(Q51:Q55)</f>
        <v>6172.3744464021756</v>
      </c>
      <c r="R56" s="72">
        <f t="shared" ref="R56" si="55">+SUM(R51:R55)</f>
        <v>-2156.5898014638697</v>
      </c>
      <c r="S56" s="72">
        <f t="shared" ref="S56" si="56">+SUM(S51:S55)</f>
        <v>-336.84629081983428</v>
      </c>
      <c r="T56" s="72">
        <f t="shared" ref="T56" si="57">+SUM(T51:T55)</f>
        <v>-332.68072031141122</v>
      </c>
      <c r="U56" s="72">
        <f t="shared" ref="U56" si="58">+SUM(U51:U55)</f>
        <v>-371.68719570766365</v>
      </c>
      <c r="V56" s="72">
        <f t="shared" ref="V56" si="59">+SUM(V51:V55)</f>
        <v>-537.66161384446491</v>
      </c>
      <c r="W56" s="72">
        <f t="shared" ref="W56" si="60">+SUM(W51:W55)</f>
        <v>-497.11804496411821</v>
      </c>
      <c r="X56" s="72">
        <f t="shared" ref="X56" si="61">+SUM(X51:X55)</f>
        <v>-493.75136017602898</v>
      </c>
      <c r="Y56" s="72">
        <f t="shared" ref="Y56" si="62">+SUM(Y51:Y55)</f>
        <v>811.14178282050784</v>
      </c>
      <c r="Z56" s="72">
        <f t="shared" ref="Z56" si="63">+SUM(Z51:Z55)</f>
        <v>-497.27411129819154</v>
      </c>
      <c r="AA56" s="72">
        <f t="shared" ref="AA56" si="64">+SUM(AA51:AA55)</f>
        <v>-754.26462643112109</v>
      </c>
      <c r="AB56" s="72">
        <f t="shared" ref="AB56" si="65">+SUM(AB51:AB55)</f>
        <v>-486.58303563821863</v>
      </c>
      <c r="AC56" s="72">
        <f t="shared" ref="AC56" si="66">+SUM(AC51:AC55)</f>
        <v>-502.14973170364868</v>
      </c>
      <c r="AD56" s="72">
        <f t="shared" ref="AD56" si="67">+SUM(AD51:AD55)</f>
        <v>-570.34243471116235</v>
      </c>
      <c r="AE56" s="72">
        <f t="shared" ref="AE56" si="68">+SUM(AE51:AE55)</f>
        <v>-548.79984314217643</v>
      </c>
      <c r="AF56" s="72">
        <f t="shared" ref="AF56" si="69">+SUM(AF51:AF55)</f>
        <v>-619.60576147276663</v>
      </c>
      <c r="AG56" s="72">
        <f t="shared" ref="AG56" si="70">+SUM(AG51:AG55)</f>
        <v>958.31079797184191</v>
      </c>
      <c r="AH56" s="72">
        <f t="shared" ref="AH56" si="71">+SUM(AH51:AH55)</f>
        <v>-441.28427609850246</v>
      </c>
      <c r="AI56" s="72">
        <f t="shared" ref="AI56" si="72">+SUM(AI51:AI55)</f>
        <v>-684.72145538727489</v>
      </c>
      <c r="AJ56" s="72">
        <f t="shared" ref="AJ56:AK56" si="73">+SUM(AJ51:AJ55)</f>
        <v>11.969195120664835</v>
      </c>
      <c r="AK56" s="72">
        <f t="shared" si="73"/>
        <v>-489.02755125990399</v>
      </c>
      <c r="AL56" s="72">
        <f t="shared" ref="AL56:AQ56" si="74">+SUM(AL51:AL55)</f>
        <v>-573.11697262282303</v>
      </c>
      <c r="AM56" s="72">
        <f t="shared" si="74"/>
        <v>1694.0801628268928</v>
      </c>
      <c r="AN56" s="72">
        <f t="shared" si="74"/>
        <v>-567.01583159366101</v>
      </c>
      <c r="AO56" s="72">
        <f t="shared" si="74"/>
        <v>807.95512030413397</v>
      </c>
      <c r="AP56" s="72">
        <f t="shared" si="74"/>
        <v>-606.58083512492522</v>
      </c>
      <c r="AQ56" s="72">
        <f t="shared" si="74"/>
        <v>-627.28777617559172</v>
      </c>
    </row>
    <row r="57" spans="3:43" ht="15" thickTop="1" x14ac:dyDescent="0.35">
      <c r="E57" s="147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</row>
    <row r="58" spans="3:43" x14ac:dyDescent="0.35">
      <c r="C58" t="s">
        <v>114</v>
      </c>
      <c r="E58" s="147">
        <f t="shared" ref="E58" si="75">+E45-D45</f>
        <v>810.83129411764821</v>
      </c>
      <c r="F58" s="2">
        <f t="shared" ref="F58" si="76">+F45-E45</f>
        <v>642.56147665650315</v>
      </c>
      <c r="G58" s="2">
        <f t="shared" ref="G58:AQ58" si="77">+G45-F45</f>
        <v>421.16143896303038</v>
      </c>
      <c r="H58" s="2">
        <f t="shared" si="77"/>
        <v>-53.520552862850309</v>
      </c>
      <c r="I58" s="2">
        <f t="shared" si="77"/>
        <v>16.140685776881583</v>
      </c>
      <c r="J58" s="2">
        <f t="shared" si="77"/>
        <v>-35.160918957275499</v>
      </c>
      <c r="K58" s="2">
        <f t="shared" si="77"/>
        <v>-14.12010853781976</v>
      </c>
      <c r="L58" s="2">
        <f t="shared" si="77"/>
        <v>-78.7108512669638</v>
      </c>
      <c r="M58" s="2">
        <f t="shared" si="77"/>
        <v>-120.96503342020696</v>
      </c>
      <c r="N58" s="2">
        <f t="shared" si="77"/>
        <v>-51.542357097741842</v>
      </c>
      <c r="O58" s="2">
        <f t="shared" si="77"/>
        <v>-103.28640503954011</v>
      </c>
      <c r="P58" s="2">
        <f t="shared" si="77"/>
        <v>-94.560901068480234</v>
      </c>
      <c r="Q58" s="2">
        <f t="shared" si="77"/>
        <v>-342.88769267169482</v>
      </c>
      <c r="R58" s="2">
        <f t="shared" si="77"/>
        <v>-2137.6817141411066</v>
      </c>
      <c r="S58" s="2">
        <f t="shared" si="77"/>
        <v>-320.03297222522087</v>
      </c>
      <c r="T58" s="2">
        <f t="shared" si="77"/>
        <v>-383.40231947569373</v>
      </c>
      <c r="U58" s="2">
        <f t="shared" si="77"/>
        <v>-360.03119054214949</v>
      </c>
      <c r="V58" s="2">
        <f t="shared" si="77"/>
        <v>-412.6250403190279</v>
      </c>
      <c r="W58" s="2">
        <f t="shared" si="77"/>
        <v>-369.09035791173665</v>
      </c>
      <c r="X58" s="2">
        <f t="shared" si="77"/>
        <v>-362.65802586447353</v>
      </c>
      <c r="Y58" s="2">
        <f t="shared" si="77"/>
        <v>-448.44096248794813</v>
      </c>
      <c r="Z58" s="2">
        <f t="shared" si="77"/>
        <v>-387.69446516952121</v>
      </c>
      <c r="AA58" s="2">
        <f t="shared" si="77"/>
        <v>-641.9414580550947</v>
      </c>
      <c r="AB58" s="2">
        <f t="shared" si="77"/>
        <v>-371.44491669014678</v>
      </c>
      <c r="AC58" s="2">
        <f t="shared" si="77"/>
        <v>-384.12330855595246</v>
      </c>
      <c r="AD58" s="2">
        <f t="shared" si="77"/>
        <v>-449.35237502523159</v>
      </c>
      <c r="AE58" s="2">
        <f t="shared" si="77"/>
        <v>-424.76878094498625</v>
      </c>
      <c r="AF58" s="2">
        <f t="shared" si="77"/>
        <v>-492.45424067456497</v>
      </c>
      <c r="AG58" s="2">
        <f t="shared" si="77"/>
        <v>-411.72801607715064</v>
      </c>
      <c r="AH58" s="2">
        <f t="shared" si="77"/>
        <v>-337.65266523542687</v>
      </c>
      <c r="AI58" s="2">
        <f t="shared" si="77"/>
        <v>-578.31804475126319</v>
      </c>
      <c r="AJ58" s="2">
        <f t="shared" si="77"/>
        <v>-393.77918344825866</v>
      </c>
      <c r="AK58" s="2">
        <f t="shared" si="77"/>
        <v>-392.29915054038884</v>
      </c>
      <c r="AL58" s="2">
        <f t="shared" si="77"/>
        <v>-473.84450462330824</v>
      </c>
      <c r="AM58" s="2">
        <f t="shared" si="77"/>
        <v>-514.45428580934458</v>
      </c>
      <c r="AN58" s="2">
        <f t="shared" si="77"/>
        <v>-512.77420119241651</v>
      </c>
      <c r="AO58" s="2">
        <f t="shared" si="77"/>
        <v>-1054.3408568052728</v>
      </c>
      <c r="AP58" s="2">
        <f t="shared" si="77"/>
        <v>-606.58083512492522</v>
      </c>
      <c r="AQ58" s="2">
        <f t="shared" si="77"/>
        <v>-627.28777617559172</v>
      </c>
    </row>
    <row r="59" spans="3:43" x14ac:dyDescent="0.35">
      <c r="E59" s="145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</row>
    <row r="60" spans="3:43" x14ac:dyDescent="0.35">
      <c r="C60" t="s">
        <v>116</v>
      </c>
      <c r="E60" s="145">
        <f t="shared" ref="E60:AQ60" si="78">+E29+E30-D29-D30-E53-E61-E54</f>
        <v>495.27671568627449</v>
      </c>
      <c r="F60" s="12">
        <f t="shared" si="78"/>
        <v>-291.23253843637445</v>
      </c>
      <c r="G60" s="12">
        <f t="shared" si="78"/>
        <v>-281.61190724821745</v>
      </c>
      <c r="H60" s="12">
        <f t="shared" si="78"/>
        <v>-270.22935786418486</v>
      </c>
      <c r="I60" s="12">
        <f t="shared" si="78"/>
        <v>-179.46608252725832</v>
      </c>
      <c r="J60" s="12">
        <f t="shared" si="78"/>
        <v>-228.61455509717013</v>
      </c>
      <c r="K60" s="12">
        <f t="shared" si="78"/>
        <v>-191.09739617904347</v>
      </c>
      <c r="L60" s="12">
        <f t="shared" si="78"/>
        <v>-238.60679458745744</v>
      </c>
      <c r="M60" s="12">
        <f t="shared" si="78"/>
        <v>-187.88422925248346</v>
      </c>
      <c r="N60" s="12">
        <f t="shared" si="78"/>
        <v>-194.17673104266925</v>
      </c>
      <c r="O60" s="12">
        <f t="shared" si="78"/>
        <v>-244.04783925874682</v>
      </c>
      <c r="P60" s="12">
        <f t="shared" si="78"/>
        <v>-214.87932873356499</v>
      </c>
      <c r="Q60" s="12">
        <f t="shared" si="78"/>
        <v>-448.36070445659061</v>
      </c>
      <c r="R60" s="12">
        <f t="shared" si="78"/>
        <v>-347.52214103344386</v>
      </c>
      <c r="S60" s="12">
        <f t="shared" si="78"/>
        <v>-384.98751494235216</v>
      </c>
      <c r="T60" s="12">
        <f t="shared" si="78"/>
        <v>-449.46534203107575</v>
      </c>
      <c r="U60" s="12">
        <f t="shared" si="78"/>
        <v>-427.82411205534663</v>
      </c>
      <c r="V60" s="12">
        <f t="shared" si="78"/>
        <v>-496.98184535419369</v>
      </c>
      <c r="W60" s="12">
        <f t="shared" si="78"/>
        <v>-438.8695809306729</v>
      </c>
      <c r="X60" s="12">
        <f t="shared" si="78"/>
        <v>-458.53611020679296</v>
      </c>
      <c r="Y60" s="12">
        <f t="shared" si="78"/>
        <v>-522.91174835231311</v>
      </c>
      <c r="Z60" s="12">
        <f t="shared" si="78"/>
        <v>-463.68902829915919</v>
      </c>
      <c r="AA60" s="12">
        <f t="shared" si="78"/>
        <v>-537.91187506112215</v>
      </c>
      <c r="AB60" s="12">
        <f t="shared" si="78"/>
        <v>-455.39692841890542</v>
      </c>
      <c r="AC60" s="12">
        <f t="shared" si="78"/>
        <v>-474.46978702832098</v>
      </c>
      <c r="AD60" s="12">
        <f t="shared" si="78"/>
        <v>-545.4058164823706</v>
      </c>
      <c r="AE60" s="12">
        <f t="shared" si="78"/>
        <v>-526.85114340147527</v>
      </c>
      <c r="AF60" s="12">
        <f t="shared" si="78"/>
        <v>-600.77804381413671</v>
      </c>
      <c r="AG60" s="12">
        <f t="shared" si="78"/>
        <v>-497.09610205104025</v>
      </c>
      <c r="AH60" s="12">
        <f t="shared" si="78"/>
        <v>-424.45127781333224</v>
      </c>
      <c r="AI60" s="12">
        <f t="shared" si="78"/>
        <v>-495.21077323209943</v>
      </c>
      <c r="AJ60" s="12">
        <f t="shared" si="78"/>
        <v>-472.50025400816338</v>
      </c>
      <c r="AK60" s="12">
        <f t="shared" si="78"/>
        <v>-476.20677789912673</v>
      </c>
      <c r="AL60" s="12">
        <f t="shared" si="78"/>
        <v>-562.43964068194623</v>
      </c>
      <c r="AM60" s="12">
        <f t="shared" si="78"/>
        <v>-559.39317387073061</v>
      </c>
      <c r="AN60" s="12">
        <f t="shared" si="78"/>
        <v>-556.46360261813516</v>
      </c>
      <c r="AO60" s="12">
        <f t="shared" si="78"/>
        <v>-575.65793451579771</v>
      </c>
      <c r="AP60" s="12">
        <f t="shared" si="78"/>
        <v>-595.86425330060263</v>
      </c>
      <c r="AQ60" s="12">
        <f t="shared" si="78"/>
        <v>-619.45887645281164</v>
      </c>
    </row>
    <row r="61" spans="3:43" x14ac:dyDescent="0.35">
      <c r="C61" t="s">
        <v>1</v>
      </c>
      <c r="E61" s="145">
        <f t="shared" ref="E61:G61" si="79">-E19</f>
        <v>-682.97671568627447</v>
      </c>
      <c r="F61" s="12">
        <f t="shared" si="79"/>
        <v>-99.354769736842115</v>
      </c>
      <c r="G61" s="12">
        <f t="shared" si="79"/>
        <v>-81.884616601251793</v>
      </c>
      <c r="H61" s="12">
        <f>-H19</f>
        <v>-64.874157555307988</v>
      </c>
      <c r="I61" s="12">
        <f t="shared" ref="I61:AJ61" si="80">-I19</f>
        <v>-67.006521342051272</v>
      </c>
      <c r="J61" s="12">
        <f t="shared" si="80"/>
        <v>-62.309661865756809</v>
      </c>
      <c r="K61" s="12">
        <f t="shared" si="80"/>
        <v>-64.224211807019742</v>
      </c>
      <c r="L61" s="12">
        <f t="shared" si="80"/>
        <v>-78.97781434571074</v>
      </c>
      <c r="M61" s="12">
        <f t="shared" si="80"/>
        <v>-169.69717631991898</v>
      </c>
      <c r="N61" s="12">
        <f t="shared" si="80"/>
        <v>-84.557249618292033</v>
      </c>
      <c r="O61" s="12">
        <f t="shared" si="80"/>
        <v>-86.133810525584906</v>
      </c>
      <c r="P61" s="12">
        <f t="shared" si="80"/>
        <v>-77.009123561944861</v>
      </c>
      <c r="Q61" s="12">
        <f t="shared" si="80"/>
        <v>-25.365421460780304</v>
      </c>
      <c r="R61" s="12">
        <f t="shared" si="80"/>
        <v>-1919.0676604304249</v>
      </c>
      <c r="S61" s="12">
        <f t="shared" si="80"/>
        <v>-61.858775877482209</v>
      </c>
      <c r="T61" s="12">
        <f t="shared" si="80"/>
        <v>-55.373371775893588</v>
      </c>
      <c r="U61" s="12">
        <f t="shared" si="80"/>
        <v>-54.325190684373588</v>
      </c>
      <c r="V61" s="12">
        <f t="shared" si="80"/>
        <v>-40.679768490271456</v>
      </c>
      <c r="W61" s="12">
        <f t="shared" si="80"/>
        <v>-58.248464033445003</v>
      </c>
      <c r="X61" s="12">
        <f t="shared" si="80"/>
        <v>-35.215249969235408</v>
      </c>
      <c r="Y61" s="12">
        <f t="shared" si="80"/>
        <v>-32.434892974152156</v>
      </c>
      <c r="Z61" s="12">
        <f t="shared" si="80"/>
        <v>-33.585082999032892</v>
      </c>
      <c r="AA61" s="12">
        <f t="shared" si="80"/>
        <v>-216.35275136999888</v>
      </c>
      <c r="AB61" s="12">
        <f t="shared" si="80"/>
        <v>-31.186107219313023</v>
      </c>
      <c r="AC61" s="12">
        <f t="shared" si="80"/>
        <v>-27.679944675327761</v>
      </c>
      <c r="AD61" s="12">
        <f t="shared" si="80"/>
        <v>-24.936618228791595</v>
      </c>
      <c r="AE61" s="12">
        <f t="shared" si="80"/>
        <v>-21.948699740701286</v>
      </c>
      <c r="AF61" s="12">
        <f t="shared" si="80"/>
        <v>-18.827717658630014</v>
      </c>
      <c r="AG61" s="12">
        <f t="shared" si="80"/>
        <v>-15.566038938818595</v>
      </c>
      <c r="AH61" s="12">
        <f t="shared" si="80"/>
        <v>-16.83299828517023</v>
      </c>
      <c r="AI61" s="12">
        <f t="shared" si="80"/>
        <v>-189.51068215517546</v>
      </c>
      <c r="AJ61" s="12">
        <f t="shared" si="80"/>
        <v>-15.530550871171805</v>
      </c>
      <c r="AK61" s="12">
        <f t="shared" ref="AK61:AL61" si="81">-AK19</f>
        <v>-12.820773360777183</v>
      </c>
      <c r="AL61" s="12">
        <f t="shared" si="81"/>
        <v>-10.677331940876831</v>
      </c>
      <c r="AM61" s="12">
        <f t="shared" ref="AM61:AQ61" si="82">-AM19</f>
        <v>-7.7228890272015374</v>
      </c>
      <c r="AN61" s="12">
        <f t="shared" si="82"/>
        <v>-10.55222897552582</v>
      </c>
      <c r="AO61" s="12">
        <f t="shared" si="82"/>
        <v>-478.6829222894753</v>
      </c>
      <c r="AP61" s="12">
        <f t="shared" si="82"/>
        <v>-10.716581824322567</v>
      </c>
      <c r="AQ61" s="12">
        <f t="shared" si="82"/>
        <v>-7.8288997227800561</v>
      </c>
    </row>
    <row r="62" spans="3:43" x14ac:dyDescent="0.35">
      <c r="C62" t="s">
        <v>115</v>
      </c>
      <c r="E62" s="145">
        <f t="shared" ref="E62:AQ62" si="83">+SUM(E32:E41)-SUM(D32:D41)+E54+E53</f>
        <v>962.53129411764644</v>
      </c>
      <c r="F62" s="12">
        <f t="shared" si="83"/>
        <v>988.14878482972244</v>
      </c>
      <c r="G62" s="12">
        <f t="shared" si="83"/>
        <v>784.65796281249868</v>
      </c>
      <c r="H62" s="12">
        <f t="shared" si="83"/>
        <v>281.58296255664027</v>
      </c>
      <c r="I62" s="12">
        <f t="shared" si="83"/>
        <v>262.61328964619184</v>
      </c>
      <c r="J62" s="12">
        <f t="shared" si="83"/>
        <v>255.76329800565327</v>
      </c>
      <c r="K62" s="12">
        <f t="shared" si="83"/>
        <v>241.20149944824368</v>
      </c>
      <c r="L62" s="12">
        <f t="shared" si="83"/>
        <v>238.87375766620391</v>
      </c>
      <c r="M62" s="12">
        <f t="shared" si="83"/>
        <v>236.61637215219525</v>
      </c>
      <c r="N62" s="12">
        <f t="shared" si="83"/>
        <v>227.19162356321897</v>
      </c>
      <c r="O62" s="12">
        <f t="shared" si="83"/>
        <v>226.89524474479185</v>
      </c>
      <c r="P62" s="12">
        <f t="shared" si="83"/>
        <v>197.32755122702997</v>
      </c>
      <c r="Q62" s="12">
        <f t="shared" si="83"/>
        <v>130.83843324567442</v>
      </c>
      <c r="R62" s="12">
        <f t="shared" si="83"/>
        <v>128.90808732276309</v>
      </c>
      <c r="S62" s="12">
        <f t="shared" si="83"/>
        <v>126.81331859461444</v>
      </c>
      <c r="T62" s="12">
        <f t="shared" si="83"/>
        <v>121.43639433127743</v>
      </c>
      <c r="U62" s="12">
        <f t="shared" si="83"/>
        <v>122.11811219756892</v>
      </c>
      <c r="V62" s="12">
        <f t="shared" si="83"/>
        <v>125.03657352543814</v>
      </c>
      <c r="W62" s="12">
        <f t="shared" si="83"/>
        <v>128.02768705238122</v>
      </c>
      <c r="X62" s="12">
        <f t="shared" si="83"/>
        <v>131.09333431155483</v>
      </c>
      <c r="Y62" s="12">
        <f t="shared" si="83"/>
        <v>106.9056788385185</v>
      </c>
      <c r="Z62" s="12">
        <f t="shared" si="83"/>
        <v>109.57964612866999</v>
      </c>
      <c r="AA62" s="12">
        <f t="shared" si="83"/>
        <v>112.32316837602593</v>
      </c>
      <c r="AB62" s="12">
        <f t="shared" si="83"/>
        <v>115.13811894807259</v>
      </c>
      <c r="AC62" s="12">
        <f t="shared" si="83"/>
        <v>118.02642314769582</v>
      </c>
      <c r="AD62" s="12">
        <f t="shared" si="83"/>
        <v>120.99005968593065</v>
      </c>
      <c r="AE62" s="12">
        <f t="shared" si="83"/>
        <v>124.03106219719029</v>
      </c>
      <c r="AF62" s="12">
        <f t="shared" si="83"/>
        <v>127.15152079820109</v>
      </c>
      <c r="AG62" s="12">
        <f t="shared" si="83"/>
        <v>100.93412491270919</v>
      </c>
      <c r="AH62" s="12">
        <f t="shared" si="83"/>
        <v>103.63161086307537</v>
      </c>
      <c r="AI62" s="12">
        <f t="shared" si="83"/>
        <v>106.40341063601136</v>
      </c>
      <c r="AJ62" s="12">
        <f t="shared" si="83"/>
        <v>94.251621431077183</v>
      </c>
      <c r="AK62" s="12">
        <f t="shared" si="83"/>
        <v>96.728400719514866</v>
      </c>
      <c r="AL62" s="12">
        <f t="shared" si="83"/>
        <v>99.272467999514447</v>
      </c>
      <c r="AM62" s="12">
        <f t="shared" si="83"/>
        <v>52.661777088587314</v>
      </c>
      <c r="AN62" s="12">
        <f t="shared" si="83"/>
        <v>54.241630401244947</v>
      </c>
      <c r="AO62" s="12">
        <f t="shared" si="83"/>
        <v>0</v>
      </c>
      <c r="AP62" s="12">
        <f t="shared" si="83"/>
        <v>0</v>
      </c>
      <c r="AQ62" s="12">
        <f t="shared" si="83"/>
        <v>0</v>
      </c>
    </row>
    <row r="63" spans="3:43" x14ac:dyDescent="0.35">
      <c r="C63" t="s">
        <v>117</v>
      </c>
      <c r="E63" s="145">
        <f t="shared" ref="E63:G63" si="84">+E54-E54</f>
        <v>0</v>
      </c>
      <c r="F63" s="12">
        <f t="shared" si="84"/>
        <v>0</v>
      </c>
      <c r="G63" s="12">
        <f t="shared" si="84"/>
        <v>0</v>
      </c>
      <c r="H63" s="12">
        <f t="shared" ref="H63" si="85">+H54-H54</f>
        <v>0</v>
      </c>
      <c r="I63" s="12">
        <f t="shared" ref="I63:AJ63" si="86">+I54-I54</f>
        <v>0</v>
      </c>
      <c r="J63" s="12">
        <f t="shared" si="86"/>
        <v>0</v>
      </c>
      <c r="K63" s="12">
        <f t="shared" si="86"/>
        <v>0</v>
      </c>
      <c r="L63" s="12">
        <f t="shared" si="86"/>
        <v>0</v>
      </c>
      <c r="M63" s="12">
        <f t="shared" si="86"/>
        <v>0</v>
      </c>
      <c r="N63" s="12">
        <f t="shared" si="86"/>
        <v>0</v>
      </c>
      <c r="O63" s="12">
        <f t="shared" si="86"/>
        <v>0</v>
      </c>
      <c r="P63" s="12">
        <f t="shared" si="86"/>
        <v>0</v>
      </c>
      <c r="Q63" s="12">
        <f t="shared" si="86"/>
        <v>0</v>
      </c>
      <c r="R63" s="12">
        <f t="shared" si="86"/>
        <v>0</v>
      </c>
      <c r="S63" s="12">
        <f t="shared" si="86"/>
        <v>0</v>
      </c>
      <c r="T63" s="12">
        <f t="shared" si="86"/>
        <v>0</v>
      </c>
      <c r="U63" s="12">
        <f t="shared" si="86"/>
        <v>0</v>
      </c>
      <c r="V63" s="12">
        <f t="shared" si="86"/>
        <v>0</v>
      </c>
      <c r="W63" s="12">
        <f t="shared" si="86"/>
        <v>0</v>
      </c>
      <c r="X63" s="12">
        <f t="shared" si="86"/>
        <v>0</v>
      </c>
      <c r="Y63" s="12">
        <f t="shared" si="86"/>
        <v>0</v>
      </c>
      <c r="Z63" s="12">
        <f t="shared" si="86"/>
        <v>0</v>
      </c>
      <c r="AA63" s="12">
        <f t="shared" si="86"/>
        <v>0</v>
      </c>
      <c r="AB63" s="12">
        <f t="shared" si="86"/>
        <v>0</v>
      </c>
      <c r="AC63" s="12">
        <f t="shared" si="86"/>
        <v>0</v>
      </c>
      <c r="AD63" s="12">
        <f t="shared" si="86"/>
        <v>0</v>
      </c>
      <c r="AE63" s="12">
        <f t="shared" si="86"/>
        <v>0</v>
      </c>
      <c r="AF63" s="12">
        <f t="shared" si="86"/>
        <v>0</v>
      </c>
      <c r="AG63" s="12">
        <f t="shared" si="86"/>
        <v>0</v>
      </c>
      <c r="AH63" s="12">
        <f t="shared" si="86"/>
        <v>0</v>
      </c>
      <c r="AI63" s="12">
        <f t="shared" si="86"/>
        <v>0</v>
      </c>
      <c r="AJ63" s="12">
        <f t="shared" si="86"/>
        <v>0</v>
      </c>
      <c r="AK63" s="12">
        <f t="shared" ref="AK63:AL63" si="87">+AK54-AK54</f>
        <v>0</v>
      </c>
      <c r="AL63" s="12">
        <f t="shared" si="87"/>
        <v>0</v>
      </c>
      <c r="AM63" s="12">
        <f t="shared" ref="AM63:AQ63" si="88">+AM54-AM54</f>
        <v>0</v>
      </c>
      <c r="AN63" s="12">
        <f t="shared" si="88"/>
        <v>0</v>
      </c>
      <c r="AO63" s="12">
        <f t="shared" si="88"/>
        <v>0</v>
      </c>
      <c r="AP63" s="12">
        <f t="shared" si="88"/>
        <v>0</v>
      </c>
      <c r="AQ63" s="12">
        <f t="shared" si="88"/>
        <v>0</v>
      </c>
    </row>
    <row r="64" spans="3:43" x14ac:dyDescent="0.35">
      <c r="C64" t="s">
        <v>113</v>
      </c>
      <c r="E64" s="145">
        <f>+E42-D42</f>
        <v>36</v>
      </c>
      <c r="F64" s="12">
        <f>+F42-E42</f>
        <v>45</v>
      </c>
      <c r="G64" s="12">
        <f t="shared" ref="G64" si="89">-G42-F42</f>
        <v>0</v>
      </c>
      <c r="H64" s="12">
        <f t="shared" ref="H64" si="90">-H42-G42</f>
        <v>0</v>
      </c>
      <c r="I64" s="12">
        <f t="shared" ref="I64:AQ64" si="91">-I42-H42</f>
        <v>0</v>
      </c>
      <c r="J64" s="12">
        <f t="shared" si="91"/>
        <v>0</v>
      </c>
      <c r="K64" s="12">
        <f t="shared" si="91"/>
        <v>0</v>
      </c>
      <c r="L64" s="12">
        <f t="shared" si="91"/>
        <v>0</v>
      </c>
      <c r="M64" s="12">
        <f t="shared" si="91"/>
        <v>0</v>
      </c>
      <c r="N64" s="12">
        <f t="shared" si="91"/>
        <v>0</v>
      </c>
      <c r="O64" s="12">
        <f t="shared" si="91"/>
        <v>0</v>
      </c>
      <c r="P64" s="12">
        <f t="shared" si="91"/>
        <v>0</v>
      </c>
      <c r="Q64" s="12">
        <f t="shared" si="91"/>
        <v>0</v>
      </c>
      <c r="R64" s="12">
        <f t="shared" si="91"/>
        <v>0</v>
      </c>
      <c r="S64" s="12">
        <f t="shared" si="91"/>
        <v>0</v>
      </c>
      <c r="T64" s="12">
        <f t="shared" si="91"/>
        <v>0</v>
      </c>
      <c r="U64" s="12">
        <f t="shared" si="91"/>
        <v>0</v>
      </c>
      <c r="V64" s="12">
        <f t="shared" si="91"/>
        <v>0</v>
      </c>
      <c r="W64" s="12">
        <f t="shared" si="91"/>
        <v>0</v>
      </c>
      <c r="X64" s="12">
        <f t="shared" si="91"/>
        <v>0</v>
      </c>
      <c r="Y64" s="12">
        <f t="shared" si="91"/>
        <v>0</v>
      </c>
      <c r="Z64" s="12">
        <f t="shared" si="91"/>
        <v>0</v>
      </c>
      <c r="AA64" s="12">
        <f t="shared" si="91"/>
        <v>0</v>
      </c>
      <c r="AB64" s="12">
        <f t="shared" si="91"/>
        <v>0</v>
      </c>
      <c r="AC64" s="12">
        <f t="shared" si="91"/>
        <v>0</v>
      </c>
      <c r="AD64" s="12">
        <f t="shared" si="91"/>
        <v>0</v>
      </c>
      <c r="AE64" s="12">
        <f t="shared" si="91"/>
        <v>0</v>
      </c>
      <c r="AF64" s="12">
        <f t="shared" si="91"/>
        <v>0</v>
      </c>
      <c r="AG64" s="12">
        <f t="shared" si="91"/>
        <v>0</v>
      </c>
      <c r="AH64" s="12">
        <f t="shared" si="91"/>
        <v>0</v>
      </c>
      <c r="AI64" s="12">
        <f t="shared" si="91"/>
        <v>0</v>
      </c>
      <c r="AJ64" s="12">
        <f t="shared" si="91"/>
        <v>0</v>
      </c>
      <c r="AK64" s="12">
        <f t="shared" si="91"/>
        <v>0</v>
      </c>
      <c r="AL64" s="12">
        <f t="shared" si="91"/>
        <v>0</v>
      </c>
      <c r="AM64" s="12">
        <f t="shared" si="91"/>
        <v>0</v>
      </c>
      <c r="AN64" s="12">
        <f t="shared" si="91"/>
        <v>0</v>
      </c>
      <c r="AO64" s="12">
        <f t="shared" si="91"/>
        <v>0</v>
      </c>
      <c r="AP64" s="12">
        <f t="shared" si="91"/>
        <v>0</v>
      </c>
      <c r="AQ64" s="12">
        <f t="shared" si="91"/>
        <v>0</v>
      </c>
    </row>
    <row r="65" spans="4:43" x14ac:dyDescent="0.35">
      <c r="E65" s="145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</row>
    <row r="66" spans="4:43" ht="15" thickBot="1" x14ac:dyDescent="0.4">
      <c r="E66" s="163">
        <f t="shared" ref="E66" si="92">+SUM(E60:E65)</f>
        <v>810.83129411764639</v>
      </c>
      <c r="F66" s="162">
        <f t="shared" ref="F66" si="93">+SUM(F60:F65)</f>
        <v>642.56147665650587</v>
      </c>
      <c r="G66" s="162">
        <f t="shared" ref="G66" si="94">+SUM(G60:G65)</f>
        <v>421.16143896302947</v>
      </c>
      <c r="H66" s="162">
        <f t="shared" ref="H66" si="95">+SUM(H60:H65)</f>
        <v>-53.520552862852583</v>
      </c>
      <c r="I66" s="162">
        <f t="shared" ref="I66" si="96">+SUM(I60:I65)</f>
        <v>16.140685776882265</v>
      </c>
      <c r="J66" s="162">
        <f t="shared" ref="J66" si="97">+SUM(J60:J65)</f>
        <v>-35.16091895727368</v>
      </c>
      <c r="K66" s="162">
        <f t="shared" ref="K66" si="98">+SUM(K60:K65)</f>
        <v>-14.120108537819533</v>
      </c>
      <c r="L66" s="162">
        <f t="shared" ref="L66" si="99">+SUM(L60:L65)</f>
        <v>-78.710851266964255</v>
      </c>
      <c r="M66" s="162">
        <f t="shared" ref="M66" si="100">+SUM(M60:M65)</f>
        <v>-120.96503342020719</v>
      </c>
      <c r="N66" s="162">
        <f t="shared" ref="N66" si="101">+SUM(N60:N65)</f>
        <v>-51.542357097742297</v>
      </c>
      <c r="O66" s="162">
        <f t="shared" ref="O66" si="102">+SUM(O60:O65)</f>
        <v>-103.28640503953989</v>
      </c>
      <c r="P66" s="162">
        <f t="shared" ref="P66" si="103">+SUM(P60:P65)</f>
        <v>-94.560901068479893</v>
      </c>
      <c r="Q66" s="162">
        <f t="shared" ref="Q66" si="104">+SUM(Q60:Q65)</f>
        <v>-342.88769267169647</v>
      </c>
      <c r="R66" s="162">
        <f t="shared" ref="R66" si="105">+SUM(R60:R65)</f>
        <v>-2137.6817141411057</v>
      </c>
      <c r="S66" s="162">
        <f t="shared" ref="S66" si="106">+SUM(S60:S65)</f>
        <v>-320.03297222521996</v>
      </c>
      <c r="T66" s="162">
        <f t="shared" ref="T66" si="107">+SUM(T60:T65)</f>
        <v>-383.40231947569191</v>
      </c>
      <c r="U66" s="162">
        <f t="shared" ref="U66" si="108">+SUM(U60:U65)</f>
        <v>-360.03119054215131</v>
      </c>
      <c r="V66" s="162">
        <f t="shared" ref="V66" si="109">+SUM(V60:V65)</f>
        <v>-412.62504031902699</v>
      </c>
      <c r="W66" s="162">
        <f t="shared" ref="W66" si="110">+SUM(W60:W65)</f>
        <v>-369.09035791173665</v>
      </c>
      <c r="X66" s="162">
        <f t="shared" ref="X66" si="111">+SUM(X60:X65)</f>
        <v>-362.65802586447353</v>
      </c>
      <c r="Y66" s="162">
        <f t="shared" ref="Y66" si="112">+SUM(Y60:Y65)</f>
        <v>-448.44096248794676</v>
      </c>
      <c r="Z66" s="162">
        <f t="shared" ref="Z66" si="113">+SUM(Z60:Z65)</f>
        <v>-387.69446516952212</v>
      </c>
      <c r="AA66" s="162">
        <f t="shared" ref="AA66" si="114">+SUM(AA60:AA65)</f>
        <v>-641.94145805509515</v>
      </c>
      <c r="AB66" s="162">
        <f t="shared" ref="AB66" si="115">+SUM(AB60:AB65)</f>
        <v>-371.44491669014587</v>
      </c>
      <c r="AC66" s="162">
        <f t="shared" ref="AC66" si="116">+SUM(AC60:AC65)</f>
        <v>-384.12330855595292</v>
      </c>
      <c r="AD66" s="162">
        <f t="shared" ref="AD66" si="117">+SUM(AD60:AD65)</f>
        <v>-449.35237502523159</v>
      </c>
      <c r="AE66" s="162">
        <f t="shared" ref="AE66" si="118">+SUM(AE60:AE65)</f>
        <v>-424.76878094498625</v>
      </c>
      <c r="AF66" s="162">
        <f t="shared" ref="AF66" si="119">+SUM(AF60:AF65)</f>
        <v>-492.45424067456565</v>
      </c>
      <c r="AG66" s="162">
        <f t="shared" ref="AG66" si="120">+SUM(AG60:AG65)</f>
        <v>-411.72801607714962</v>
      </c>
      <c r="AH66" s="162">
        <f t="shared" ref="AH66" si="121">+SUM(AH60:AH65)</f>
        <v>-337.65266523542709</v>
      </c>
      <c r="AI66" s="162">
        <f t="shared" ref="AI66" si="122">+SUM(AI60:AI65)</f>
        <v>-578.31804475126353</v>
      </c>
      <c r="AJ66" s="162">
        <f t="shared" ref="AJ66:AK66" si="123">+SUM(AJ60:AJ65)</f>
        <v>-393.77918344825798</v>
      </c>
      <c r="AK66" s="162">
        <f t="shared" si="123"/>
        <v>-392.29915054038906</v>
      </c>
      <c r="AL66" s="162">
        <f t="shared" ref="AL66:AQ66" si="124">+SUM(AL60:AL65)</f>
        <v>-473.84450462330858</v>
      </c>
      <c r="AM66" s="162">
        <f t="shared" si="124"/>
        <v>-514.45428580934481</v>
      </c>
      <c r="AN66" s="162">
        <f t="shared" si="124"/>
        <v>-512.77420119241606</v>
      </c>
      <c r="AO66" s="162">
        <f t="shared" si="124"/>
        <v>-1054.340856805273</v>
      </c>
      <c r="AP66" s="162">
        <f t="shared" si="124"/>
        <v>-606.58083512492522</v>
      </c>
      <c r="AQ66" s="162">
        <f t="shared" si="124"/>
        <v>-627.28777617559172</v>
      </c>
    </row>
    <row r="67" spans="4:43" ht="15" thickTop="1" x14ac:dyDescent="0.35"/>
    <row r="68" spans="4:43" x14ac:dyDescent="0.35">
      <c r="D68" s="161"/>
    </row>
    <row r="69" spans="4:43" x14ac:dyDescent="0.35">
      <c r="D69" s="161"/>
    </row>
    <row r="70" spans="4:43" x14ac:dyDescent="0.35">
      <c r="D70" s="161"/>
      <c r="J70" s="12"/>
    </row>
    <row r="71" spans="4:43" x14ac:dyDescent="0.35">
      <c r="D71" s="161"/>
      <c r="E71" s="12"/>
      <c r="J71" s="12"/>
    </row>
    <row r="72" spans="4:43" x14ac:dyDescent="0.35">
      <c r="D72" s="161"/>
    </row>
    <row r="73" spans="4:43" x14ac:dyDescent="0.35">
      <c r="D73" s="161"/>
    </row>
    <row r="74" spans="4:43" x14ac:dyDescent="0.35">
      <c r="D74" s="161"/>
    </row>
    <row r="75" spans="4:43" x14ac:dyDescent="0.35">
      <c r="D75" s="161"/>
    </row>
    <row r="76" spans="4:43" x14ac:dyDescent="0.35">
      <c r="D76" s="161"/>
      <c r="J76" s="12"/>
    </row>
    <row r="77" spans="4:43" x14ac:dyDescent="0.35">
      <c r="D77" s="161"/>
    </row>
    <row r="78" spans="4:43" x14ac:dyDescent="0.35">
      <c r="D78" s="161"/>
    </row>
    <row r="85" spans="29:29" x14ac:dyDescent="0.35">
      <c r="AC85" s="164" t="s">
        <v>120</v>
      </c>
    </row>
  </sheetData>
  <conditionalFormatting sqref="E26:AQ26">
    <cfRule type="iconSet" priority="1">
      <iconSet showValue="0">
        <cfvo type="percent" val="0"/>
        <cfvo type="num" val="0"/>
        <cfvo type="num" val="100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Inputs</vt:lpstr>
      <vt:lpstr>Outputs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Biedermann</dc:creator>
  <cp:lastModifiedBy>Chris Biedermann</cp:lastModifiedBy>
  <dcterms:created xsi:type="dcterms:W3CDTF">2021-08-28T07:10:15Z</dcterms:created>
  <dcterms:modified xsi:type="dcterms:W3CDTF">2026-03-10T17:27:06Z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KPECATEGORY">
    <vt:lpwstr>PODSTAWOWY</vt:lpwstr>
  </property>
  <property fmtid="{D5CDD505-2E9C-101B-9397-08002B2CF9AE}" pid="3" name="PKPEClassifiedBy">
    <vt:lpwstr>PKPENERGETYKA\c.biedermann;Christopher Biedermann</vt:lpwstr>
  </property>
  <property fmtid="{D5CDD505-2E9C-101B-9397-08002B2CF9AE}" pid="4" name="PKPEClassificationDate">
    <vt:lpwstr>2022-05-18T10:29:48.1906750+02:00</vt:lpwstr>
  </property>
  <property fmtid="{D5CDD505-2E9C-101B-9397-08002B2CF9AE}" pid="5" name="PKPEClassifiedBySID">
    <vt:lpwstr>PKPENERGETYKA\S-1-5-21-3871890766-2155079996-2380071410-65960</vt:lpwstr>
  </property>
  <property fmtid="{D5CDD505-2E9C-101B-9397-08002B2CF9AE}" pid="6" name="PKPEGRNItemId">
    <vt:lpwstr>GRN-fb0dab0e-7569-49a1-aae3-7231267fa627</vt:lpwstr>
  </property>
  <property fmtid="{D5CDD505-2E9C-101B-9397-08002B2CF9AE}" pid="7" name="PKPEHash">
    <vt:lpwstr>cuH4ME9GeL/UtTsbk4hzuU/AcXueFSdJxzYvP4S23B8=</vt:lpwstr>
  </property>
  <property fmtid="{D5CDD505-2E9C-101B-9397-08002B2CF9AE}" pid="8" name="DLPManualFileClassification">
    <vt:lpwstr>{d451a605-bcd3-4154-b74a-e225535d66bc}</vt:lpwstr>
  </property>
  <property fmtid="{D5CDD505-2E9C-101B-9397-08002B2CF9AE}" pid="9" name="PKPERefresh">
    <vt:lpwstr>False</vt:lpwstr>
  </property>
</Properties>
</file>